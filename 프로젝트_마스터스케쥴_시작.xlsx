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hinvsol-my.sharepoint.com/personal/mskim_hinvsol_com/Documents/Microsoft Teams 채팅 파일/"/>
    </mc:Choice>
  </mc:AlternateContent>
  <xr:revisionPtr revIDLastSave="747" documentId="8_{2FA474DE-B0DC-45F7-AA27-8B837A103EA2}" xr6:coauthVersionLast="47" xr6:coauthVersionMax="47" xr10:uidLastSave="{6A33E0FB-5FB9-462B-B3F5-F9FC523820C8}"/>
  <bookViews>
    <workbookView minimized="1" xWindow="3210" yWindow="3390" windowWidth="21600" windowHeight="11295" firstSheet="8" activeTab="8" xr2:uid="{00000000-000D-0000-FFFF-FFFF00000000}"/>
  </bookViews>
  <sheets>
    <sheet name="프로젝트일정 총괄표" sheetId="1" r:id="rId1"/>
    <sheet name="1.킨트_SS_BAP" sheetId="2" r:id="rId2"/>
    <sheet name="2.10kWFC_배터리팩" sheetId="3" r:id="rId3"/>
    <sheet name="4.수소이동형발전기" sheetId="5" r:id="rId4"/>
    <sheet name="3.항만용AGV충전기" sheetId="4" r:id="rId5"/>
    <sheet name="5.친환경선박인증" sheetId="8" r:id="rId6"/>
    <sheet name="6.RT크레인" sheetId="6" r:id="rId7"/>
    <sheet name="영업 보고 건" sheetId="9" r:id="rId8"/>
    <sheet name="이슈리스트" sheetId="7" r:id="rId9"/>
  </sheets>
  <definedNames>
    <definedName name="_xlnm._FilterDatabase" localSheetId="8" hidden="1">이슈리스트!$B$2:$V$22</definedName>
    <definedName name="_xlnm._FilterDatabase" localSheetId="0" hidden="1">'프로젝트일정 총괄표'!$H$1:$H$17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G36" i="3"/>
  <c r="F37" i="3" s="1"/>
  <c r="G37" i="3" s="1"/>
  <c r="G35" i="3"/>
  <c r="G34" i="3"/>
  <c r="F34" i="3"/>
  <c r="F25" i="3"/>
  <c r="K16" i="3"/>
  <c r="K15" i="3"/>
  <c r="K14" i="3"/>
  <c r="K13" i="3"/>
  <c r="K12" i="3"/>
  <c r="K11" i="3"/>
  <c r="J19" i="3"/>
  <c r="J21" i="3"/>
  <c r="J22" i="3"/>
  <c r="F33" i="3"/>
  <c r="D4" i="5"/>
  <c r="G27" i="3"/>
  <c r="G26" i="3"/>
  <c r="I30" i="3"/>
  <c r="M32" i="8"/>
  <c r="K32" i="8"/>
  <c r="J32" i="8"/>
  <c r="N32" i="8" s="1"/>
  <c r="H32" i="8"/>
  <c r="O32" i="8" s="1"/>
  <c r="M31" i="8"/>
  <c r="K31" i="8"/>
  <c r="J31" i="8"/>
  <c r="L31" i="8" s="1"/>
  <c r="H31" i="8"/>
  <c r="O31" i="8" s="1"/>
  <c r="P30" i="8"/>
  <c r="Q30" i="8" s="1"/>
  <c r="O30" i="8"/>
  <c r="N30" i="8"/>
  <c r="M30" i="8"/>
  <c r="K30" i="8"/>
  <c r="J30" i="8"/>
  <c r="L30" i="8" s="1"/>
  <c r="H30" i="8"/>
  <c r="M29" i="8"/>
  <c r="K29" i="8"/>
  <c r="J29" i="8"/>
  <c r="N29" i="8" s="1"/>
  <c r="H29" i="8"/>
  <c r="O29" i="8" s="1"/>
  <c r="O28" i="8"/>
  <c r="M28" i="8"/>
  <c r="K28" i="8"/>
  <c r="J28" i="8"/>
  <c r="H28" i="8"/>
  <c r="M27" i="8"/>
  <c r="K27" i="8"/>
  <c r="J27" i="8"/>
  <c r="N27" i="8" s="1"/>
  <c r="H27" i="8"/>
  <c r="O27" i="8" s="1"/>
  <c r="I26" i="8"/>
  <c r="G26" i="8"/>
  <c r="F26" i="8"/>
  <c r="M25" i="8"/>
  <c r="K25" i="8"/>
  <c r="J25" i="8"/>
  <c r="N25" i="8" s="1"/>
  <c r="H25" i="8"/>
  <c r="O25" i="8" s="1"/>
  <c r="M24" i="8"/>
  <c r="K24" i="8"/>
  <c r="J24" i="8"/>
  <c r="N24" i="8" s="1"/>
  <c r="H24" i="8"/>
  <c r="O24" i="8" s="1"/>
  <c r="P23" i="8"/>
  <c r="Q23" i="8" s="1"/>
  <c r="O23" i="8"/>
  <c r="N23" i="8"/>
  <c r="M23" i="8"/>
  <c r="K23" i="8"/>
  <c r="J23" i="8"/>
  <c r="L23" i="8" s="1"/>
  <c r="H23" i="8"/>
  <c r="M22" i="8"/>
  <c r="K22" i="8"/>
  <c r="J22" i="8"/>
  <c r="N22" i="8" s="1"/>
  <c r="H22" i="8"/>
  <c r="O22" i="8" s="1"/>
  <c r="K21" i="8"/>
  <c r="J21" i="8"/>
  <c r="N21" i="8" s="1"/>
  <c r="H21" i="8"/>
  <c r="O21" i="8" s="1"/>
  <c r="K20" i="8"/>
  <c r="P20" i="8" s="1"/>
  <c r="Q20" i="8" s="1"/>
  <c r="J20" i="8"/>
  <c r="N20" i="8" s="1"/>
  <c r="H20" i="8"/>
  <c r="O20" i="8" s="1"/>
  <c r="M19" i="8"/>
  <c r="K19" i="8"/>
  <c r="P19" i="8" s="1"/>
  <c r="J19" i="8"/>
  <c r="J18" i="8" s="1"/>
  <c r="K18" i="8" s="1"/>
  <c r="H19" i="8"/>
  <c r="I18" i="8" s="1"/>
  <c r="M18" i="8"/>
  <c r="G18" i="8"/>
  <c r="F18" i="8"/>
  <c r="H18" i="8" s="1"/>
  <c r="M17" i="8"/>
  <c r="K17" i="8"/>
  <c r="J17" i="8"/>
  <c r="N17" i="8" s="1"/>
  <c r="H17" i="8"/>
  <c r="O17" i="8" s="1"/>
  <c r="O16" i="8"/>
  <c r="M16" i="8"/>
  <c r="K16" i="8"/>
  <c r="J16" i="8"/>
  <c r="N16" i="8" s="1"/>
  <c r="H16" i="8"/>
  <c r="M15" i="8"/>
  <c r="K15" i="8"/>
  <c r="J15" i="8"/>
  <c r="N15" i="8" s="1"/>
  <c r="H15" i="8"/>
  <c r="O15" i="8" s="1"/>
  <c r="M14" i="8"/>
  <c r="K14" i="8"/>
  <c r="P14" i="8" s="1"/>
  <c r="J14" i="8"/>
  <c r="N14" i="8" s="1"/>
  <c r="H14" i="8"/>
  <c r="O14" i="8" s="1"/>
  <c r="P13" i="8"/>
  <c r="Q13" i="8" s="1"/>
  <c r="O13" i="8"/>
  <c r="M13" i="8"/>
  <c r="K13" i="8"/>
  <c r="J13" i="8"/>
  <c r="N13" i="8" s="1"/>
  <c r="H13" i="8"/>
  <c r="M12" i="8"/>
  <c r="K12" i="8"/>
  <c r="P12" i="8" s="1"/>
  <c r="J12" i="8"/>
  <c r="H12" i="8"/>
  <c r="I10" i="8" s="1"/>
  <c r="O11" i="8"/>
  <c r="N11" i="8"/>
  <c r="M11" i="8"/>
  <c r="L11" i="8"/>
  <c r="K11" i="8"/>
  <c r="J11" i="8"/>
  <c r="H11" i="8"/>
  <c r="G10" i="8"/>
  <c r="F10" i="8"/>
  <c r="M10" i="8" s="1"/>
  <c r="S9" i="8"/>
  <c r="T9" i="8" s="1"/>
  <c r="U9" i="8" s="1"/>
  <c r="S8" i="8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J8" i="8" s="1"/>
  <c r="AK8" i="8" s="1"/>
  <c r="AL8" i="8" s="1"/>
  <c r="AM8" i="8" s="1"/>
  <c r="AN8" i="8" s="1"/>
  <c r="AO8" i="8" s="1"/>
  <c r="AP8" i="8" s="1"/>
  <c r="AQ8" i="8" s="1"/>
  <c r="AR8" i="8" s="1"/>
  <c r="AS8" i="8" s="1"/>
  <c r="AT8" i="8" s="1"/>
  <c r="AU8" i="8" s="1"/>
  <c r="AV8" i="8" s="1"/>
  <c r="AW8" i="8" s="1"/>
  <c r="AX8" i="8" s="1"/>
  <c r="AY8" i="8" s="1"/>
  <c r="AZ8" i="8" s="1"/>
  <c r="BA8" i="8" s="1"/>
  <c r="BB8" i="8" s="1"/>
  <c r="BC8" i="8" s="1"/>
  <c r="BD8" i="8" s="1"/>
  <c r="BE8" i="8" s="1"/>
  <c r="BF8" i="8" s="1"/>
  <c r="BG8" i="8" s="1"/>
  <c r="BH8" i="8" s="1"/>
  <c r="BI8" i="8" s="1"/>
  <c r="BJ8" i="8" s="1"/>
  <c r="BK8" i="8" s="1"/>
  <c r="BL8" i="8" s="1"/>
  <c r="BM8" i="8" s="1"/>
  <c r="BN8" i="8" s="1"/>
  <c r="BO8" i="8" s="1"/>
  <c r="BP8" i="8" s="1"/>
  <c r="BQ8" i="8" s="1"/>
  <c r="BR8" i="8" s="1"/>
  <c r="BS8" i="8" s="1"/>
  <c r="BT8" i="8" s="1"/>
  <c r="BU8" i="8" s="1"/>
  <c r="BV8" i="8" s="1"/>
  <c r="BW8" i="8" s="1"/>
  <c r="BX8" i="8" s="1"/>
  <c r="BY8" i="8" s="1"/>
  <c r="BZ8" i="8" s="1"/>
  <c r="CA8" i="8" s="1"/>
  <c r="CB8" i="8" s="1"/>
  <c r="CC8" i="8" s="1"/>
  <c r="CD8" i="8" s="1"/>
  <c r="CE8" i="8" s="1"/>
  <c r="CF8" i="8" s="1"/>
  <c r="CG8" i="8" s="1"/>
  <c r="CH8" i="8" s="1"/>
  <c r="CI8" i="8" s="1"/>
  <c r="CJ8" i="8" s="1"/>
  <c r="CK8" i="8" s="1"/>
  <c r="CL8" i="8" s="1"/>
  <c r="CM8" i="8" s="1"/>
  <c r="CN8" i="8" s="1"/>
  <c r="CO8" i="8" s="1"/>
  <c r="CP8" i="8" s="1"/>
  <c r="CQ8" i="8" s="1"/>
  <c r="CR8" i="8" s="1"/>
  <c r="CS8" i="8" s="1"/>
  <c r="CT8" i="8" s="1"/>
  <c r="CU8" i="8" s="1"/>
  <c r="CV8" i="8" s="1"/>
  <c r="CW8" i="8" s="1"/>
  <c r="CX8" i="8" s="1"/>
  <c r="CY8" i="8" s="1"/>
  <c r="CZ8" i="8" s="1"/>
  <c r="DA8" i="8" s="1"/>
  <c r="DB8" i="8" s="1"/>
  <c r="DC8" i="8" s="1"/>
  <c r="DD8" i="8" s="1"/>
  <c r="DE8" i="8" s="1"/>
  <c r="DF8" i="8" s="1"/>
  <c r="DG8" i="8" s="1"/>
  <c r="DH8" i="8" s="1"/>
  <c r="DI8" i="8" s="1"/>
  <c r="DJ8" i="8" s="1"/>
  <c r="DK8" i="8" s="1"/>
  <c r="DL8" i="8" s="1"/>
  <c r="DM8" i="8" s="1"/>
  <c r="DN8" i="8" s="1"/>
  <c r="DO8" i="8" s="1"/>
  <c r="DP8" i="8" s="1"/>
  <c r="DQ8" i="8" s="1"/>
  <c r="DR8" i="8" s="1"/>
  <c r="DS8" i="8" s="1"/>
  <c r="DT8" i="8" s="1"/>
  <c r="DU8" i="8" s="1"/>
  <c r="DV8" i="8" s="1"/>
  <c r="DW8" i="8" s="1"/>
  <c r="DX8" i="8" s="1"/>
  <c r="DY8" i="8" s="1"/>
  <c r="DZ8" i="8" s="1"/>
  <c r="EA8" i="8" s="1"/>
  <c r="EB8" i="8" s="1"/>
  <c r="EC8" i="8" s="1"/>
  <c r="ED8" i="8" s="1"/>
  <c r="EE8" i="8" s="1"/>
  <c r="EF8" i="8" s="1"/>
  <c r="EG8" i="8" s="1"/>
  <c r="EH8" i="8" s="1"/>
  <c r="T7" i="8"/>
  <c r="S7" i="8"/>
  <c r="D4" i="8"/>
  <c r="G25" i="3"/>
  <c r="J25" i="3" s="1"/>
  <c r="L25" i="3" s="1"/>
  <c r="D4" i="3"/>
  <c r="G15" i="3"/>
  <c r="J15" i="3" s="1"/>
  <c r="G14" i="3"/>
  <c r="H15" i="2"/>
  <c r="O15" i="2"/>
  <c r="K23" i="2"/>
  <c r="J23" i="2"/>
  <c r="N23" i="2" s="1"/>
  <c r="J22" i="2"/>
  <c r="K22" i="2"/>
  <c r="N22" i="2"/>
  <c r="G27" i="2"/>
  <c r="G26" i="2"/>
  <c r="G24" i="2" s="1"/>
  <c r="G17" i="2" s="1"/>
  <c r="F24" i="2"/>
  <c r="H22" i="2"/>
  <c r="G8" i="1"/>
  <c r="G7" i="1"/>
  <c r="E7" i="1"/>
  <c r="D7" i="1"/>
  <c r="H15" i="1"/>
  <c r="H14" i="1"/>
  <c r="H13" i="1"/>
  <c r="H12" i="1"/>
  <c r="H11" i="1"/>
  <c r="H10" i="1"/>
  <c r="H9" i="1"/>
  <c r="H7" i="1"/>
  <c r="O32" i="6"/>
  <c r="M32" i="6"/>
  <c r="L32" i="6"/>
  <c r="K32" i="6"/>
  <c r="J32" i="6"/>
  <c r="N32" i="6" s="1"/>
  <c r="H32" i="6"/>
  <c r="M31" i="6"/>
  <c r="L31" i="6"/>
  <c r="K31" i="6"/>
  <c r="P31" i="6" s="1"/>
  <c r="Q31" i="6" s="1"/>
  <c r="J31" i="6"/>
  <c r="N31" i="6" s="1"/>
  <c r="H31" i="6"/>
  <c r="O31" i="6" s="1"/>
  <c r="P30" i="6"/>
  <c r="Q30" i="6" s="1"/>
  <c r="O30" i="6"/>
  <c r="N30" i="6"/>
  <c r="M30" i="6"/>
  <c r="L30" i="6"/>
  <c r="K30" i="6"/>
  <c r="J30" i="6"/>
  <c r="H30" i="6"/>
  <c r="M29" i="6"/>
  <c r="K29" i="6"/>
  <c r="J29" i="6"/>
  <c r="H29" i="6"/>
  <c r="O29" i="6" s="1"/>
  <c r="N28" i="6"/>
  <c r="M28" i="6"/>
  <c r="L28" i="6"/>
  <c r="K28" i="6"/>
  <c r="J28" i="6"/>
  <c r="H28" i="6"/>
  <c r="O28" i="6" s="1"/>
  <c r="O27" i="6"/>
  <c r="N27" i="6"/>
  <c r="M27" i="6"/>
  <c r="L27" i="6"/>
  <c r="K27" i="6"/>
  <c r="J27" i="6"/>
  <c r="H27" i="6"/>
  <c r="I26" i="6"/>
  <c r="G26" i="6"/>
  <c r="F26" i="6"/>
  <c r="N25" i="6"/>
  <c r="M25" i="6"/>
  <c r="K25" i="6"/>
  <c r="J25" i="6"/>
  <c r="L25" i="6" s="1"/>
  <c r="H25" i="6"/>
  <c r="O25" i="6" s="1"/>
  <c r="M24" i="6"/>
  <c r="K24" i="6"/>
  <c r="J24" i="6"/>
  <c r="N24" i="6" s="1"/>
  <c r="H24" i="6"/>
  <c r="O24" i="6" s="1"/>
  <c r="Q23" i="6"/>
  <c r="O23" i="6"/>
  <c r="M23" i="6"/>
  <c r="L23" i="6"/>
  <c r="K23" i="6"/>
  <c r="P23" i="6" s="1"/>
  <c r="J23" i="6"/>
  <c r="N23" i="6" s="1"/>
  <c r="H23" i="6"/>
  <c r="O22" i="6"/>
  <c r="M22" i="6"/>
  <c r="K22" i="6"/>
  <c r="P22" i="6" s="1"/>
  <c r="Q22" i="6" s="1"/>
  <c r="J22" i="6"/>
  <c r="N22" i="6" s="1"/>
  <c r="H22" i="6"/>
  <c r="Q21" i="6"/>
  <c r="P21" i="6"/>
  <c r="O21" i="6"/>
  <c r="K21" i="6"/>
  <c r="J21" i="6"/>
  <c r="N21" i="6" s="1"/>
  <c r="H21" i="6"/>
  <c r="Q20" i="6"/>
  <c r="P20" i="6"/>
  <c r="O20" i="6"/>
  <c r="K20" i="6"/>
  <c r="J20" i="6"/>
  <c r="N20" i="6" s="1"/>
  <c r="H20" i="6"/>
  <c r="P19" i="6"/>
  <c r="Q19" i="6" s="1"/>
  <c r="M19" i="6"/>
  <c r="K19" i="6"/>
  <c r="J19" i="6"/>
  <c r="H19" i="6"/>
  <c r="H18" i="6"/>
  <c r="G18" i="6"/>
  <c r="M18" i="6" s="1"/>
  <c r="F18" i="6"/>
  <c r="P17" i="6"/>
  <c r="Q17" i="6" s="1"/>
  <c r="O17" i="6"/>
  <c r="N17" i="6"/>
  <c r="M17" i="6"/>
  <c r="L17" i="6"/>
  <c r="K17" i="6"/>
  <c r="J17" i="6"/>
  <c r="H17" i="6"/>
  <c r="M16" i="6"/>
  <c r="K16" i="6"/>
  <c r="J16" i="6"/>
  <c r="H16" i="6"/>
  <c r="O16" i="6" s="1"/>
  <c r="P15" i="6"/>
  <c r="N15" i="6"/>
  <c r="M15" i="6"/>
  <c r="L15" i="6"/>
  <c r="K15" i="6"/>
  <c r="J15" i="6"/>
  <c r="H15" i="6"/>
  <c r="O15" i="6" s="1"/>
  <c r="N14" i="6"/>
  <c r="M14" i="6"/>
  <c r="K14" i="6"/>
  <c r="J14" i="6"/>
  <c r="L14" i="6" s="1"/>
  <c r="H14" i="6"/>
  <c r="Q13" i="6"/>
  <c r="P13" i="6"/>
  <c r="M13" i="6"/>
  <c r="K13" i="6"/>
  <c r="J13" i="6"/>
  <c r="H13" i="6"/>
  <c r="O13" i="6" s="1"/>
  <c r="O12" i="6"/>
  <c r="M12" i="6"/>
  <c r="K12" i="6"/>
  <c r="P12" i="6" s="1"/>
  <c r="J12" i="6"/>
  <c r="H12" i="6"/>
  <c r="O11" i="6"/>
  <c r="M11" i="6"/>
  <c r="K11" i="6"/>
  <c r="P11" i="6" s="1"/>
  <c r="J11" i="6"/>
  <c r="N11" i="6" s="1"/>
  <c r="H11" i="6"/>
  <c r="M10" i="6"/>
  <c r="H10" i="6"/>
  <c r="G10" i="6"/>
  <c r="F10" i="6"/>
  <c r="S9" i="6"/>
  <c r="D4" i="6"/>
  <c r="N32" i="5"/>
  <c r="M32" i="5"/>
  <c r="L32" i="5"/>
  <c r="K32" i="5"/>
  <c r="J32" i="5"/>
  <c r="H32" i="5"/>
  <c r="O32" i="5" s="1"/>
  <c r="N31" i="5"/>
  <c r="M31" i="5"/>
  <c r="L31" i="5"/>
  <c r="K31" i="5"/>
  <c r="J31" i="5"/>
  <c r="H31" i="5"/>
  <c r="O31" i="5" s="1"/>
  <c r="P30" i="5"/>
  <c r="O30" i="5"/>
  <c r="N30" i="5"/>
  <c r="M30" i="5"/>
  <c r="K30" i="5"/>
  <c r="J30" i="5"/>
  <c r="L30" i="5" s="1"/>
  <c r="H30" i="5"/>
  <c r="M29" i="5"/>
  <c r="K29" i="5"/>
  <c r="J29" i="5"/>
  <c r="H29" i="5"/>
  <c r="O29" i="5" s="1"/>
  <c r="Q28" i="5"/>
  <c r="O28" i="5"/>
  <c r="N28" i="5"/>
  <c r="M28" i="5"/>
  <c r="L28" i="5"/>
  <c r="K28" i="5"/>
  <c r="P28" i="5" s="1"/>
  <c r="J28" i="5"/>
  <c r="H28" i="5"/>
  <c r="M27" i="5"/>
  <c r="K27" i="5"/>
  <c r="P27" i="5" s="1"/>
  <c r="Q27" i="5" s="1"/>
  <c r="J27" i="5"/>
  <c r="H27" i="5"/>
  <c r="H26" i="5"/>
  <c r="G26" i="5"/>
  <c r="M26" i="5" s="1"/>
  <c r="F26" i="5"/>
  <c r="P25" i="5"/>
  <c r="Q25" i="5" s="1"/>
  <c r="O25" i="5"/>
  <c r="N25" i="5"/>
  <c r="M25" i="5"/>
  <c r="L25" i="5"/>
  <c r="K25" i="5"/>
  <c r="J25" i="5"/>
  <c r="H25" i="5"/>
  <c r="M24" i="5"/>
  <c r="K24" i="5"/>
  <c r="J24" i="5"/>
  <c r="H24" i="5"/>
  <c r="O24" i="5" s="1"/>
  <c r="P23" i="5"/>
  <c r="Q23" i="5" s="1"/>
  <c r="N23" i="5"/>
  <c r="M23" i="5"/>
  <c r="K23" i="5"/>
  <c r="J23" i="5"/>
  <c r="L23" i="5" s="1"/>
  <c r="H23" i="5"/>
  <c r="O23" i="5" s="1"/>
  <c r="N22" i="5"/>
  <c r="M22" i="5"/>
  <c r="L22" i="5"/>
  <c r="K22" i="5"/>
  <c r="J22" i="5"/>
  <c r="H22" i="5"/>
  <c r="O22" i="5" s="1"/>
  <c r="P21" i="5"/>
  <c r="N21" i="5"/>
  <c r="K21" i="5"/>
  <c r="J21" i="5"/>
  <c r="H21" i="5"/>
  <c r="O21" i="5" s="1"/>
  <c r="P20" i="5"/>
  <c r="N20" i="5"/>
  <c r="K20" i="5"/>
  <c r="J20" i="5"/>
  <c r="H20" i="5"/>
  <c r="O20" i="5" s="1"/>
  <c r="P19" i="5"/>
  <c r="M19" i="5"/>
  <c r="K19" i="5"/>
  <c r="J19" i="5"/>
  <c r="L19" i="5" s="1"/>
  <c r="H19" i="5"/>
  <c r="O19" i="5" s="1"/>
  <c r="J18" i="5"/>
  <c r="N18" i="5" s="1"/>
  <c r="I18" i="5"/>
  <c r="H18" i="5"/>
  <c r="G18" i="5"/>
  <c r="F18" i="5"/>
  <c r="M18" i="5" s="1"/>
  <c r="N17" i="5"/>
  <c r="M17" i="5"/>
  <c r="L17" i="5"/>
  <c r="K17" i="5"/>
  <c r="J17" i="5"/>
  <c r="H17" i="5"/>
  <c r="O17" i="5" s="1"/>
  <c r="P16" i="5"/>
  <c r="Q16" i="5" s="1"/>
  <c r="O16" i="5"/>
  <c r="M16" i="5"/>
  <c r="L16" i="5"/>
  <c r="K16" i="5"/>
  <c r="J16" i="5"/>
  <c r="N16" i="5" s="1"/>
  <c r="H16" i="5"/>
  <c r="Q15" i="5"/>
  <c r="O15" i="5"/>
  <c r="M15" i="5"/>
  <c r="K15" i="5"/>
  <c r="P15" i="5" s="1"/>
  <c r="J15" i="5"/>
  <c r="H15" i="5"/>
  <c r="P14" i="5"/>
  <c r="Q14" i="5" s="1"/>
  <c r="O14" i="5"/>
  <c r="M14" i="5"/>
  <c r="K14" i="5"/>
  <c r="J14" i="5"/>
  <c r="H14" i="5"/>
  <c r="O13" i="5"/>
  <c r="N13" i="5"/>
  <c r="M13" i="5"/>
  <c r="L13" i="5"/>
  <c r="K13" i="5"/>
  <c r="P13" i="5" s="1"/>
  <c r="J13" i="5"/>
  <c r="H13" i="5"/>
  <c r="M12" i="5"/>
  <c r="L12" i="5"/>
  <c r="K12" i="5"/>
  <c r="J12" i="5"/>
  <c r="N12" i="5" s="1"/>
  <c r="H12" i="5"/>
  <c r="O12" i="5" s="1"/>
  <c r="O11" i="5"/>
  <c r="M11" i="5"/>
  <c r="K11" i="5"/>
  <c r="P11" i="5" s="1"/>
  <c r="J11" i="5"/>
  <c r="J10" i="5" s="1"/>
  <c r="H11" i="5"/>
  <c r="I10" i="5"/>
  <c r="H10" i="5"/>
  <c r="G10" i="5"/>
  <c r="F10" i="5"/>
  <c r="S9" i="5"/>
  <c r="T9" i="5" s="1"/>
  <c r="S8" i="5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Z8" i="5" s="1"/>
  <c r="BA8" i="5" s="1"/>
  <c r="BB8" i="5" s="1"/>
  <c r="BC8" i="5" s="1"/>
  <c r="BD8" i="5" s="1"/>
  <c r="BE8" i="5" s="1"/>
  <c r="BF8" i="5" s="1"/>
  <c r="BG8" i="5" s="1"/>
  <c r="BH8" i="5" s="1"/>
  <c r="BI8" i="5" s="1"/>
  <c r="BJ8" i="5" s="1"/>
  <c r="BK8" i="5" s="1"/>
  <c r="BL8" i="5" s="1"/>
  <c r="BM8" i="5" s="1"/>
  <c r="BN8" i="5" s="1"/>
  <c r="BO8" i="5" s="1"/>
  <c r="BP8" i="5" s="1"/>
  <c r="BQ8" i="5" s="1"/>
  <c r="BR8" i="5" s="1"/>
  <c r="BS8" i="5" s="1"/>
  <c r="BT8" i="5" s="1"/>
  <c r="BU8" i="5" s="1"/>
  <c r="BV8" i="5" s="1"/>
  <c r="BW8" i="5" s="1"/>
  <c r="BX8" i="5" s="1"/>
  <c r="BY8" i="5" s="1"/>
  <c r="BZ8" i="5" s="1"/>
  <c r="CA8" i="5" s="1"/>
  <c r="CB8" i="5" s="1"/>
  <c r="CC8" i="5" s="1"/>
  <c r="CD8" i="5" s="1"/>
  <c r="CE8" i="5" s="1"/>
  <c r="CF8" i="5" s="1"/>
  <c r="CG8" i="5" s="1"/>
  <c r="CH8" i="5" s="1"/>
  <c r="CI8" i="5" s="1"/>
  <c r="CJ8" i="5" s="1"/>
  <c r="CK8" i="5" s="1"/>
  <c r="CL8" i="5" s="1"/>
  <c r="CM8" i="5" s="1"/>
  <c r="CN8" i="5" s="1"/>
  <c r="CO8" i="5" s="1"/>
  <c r="CP8" i="5" s="1"/>
  <c r="CQ8" i="5" s="1"/>
  <c r="CR8" i="5" s="1"/>
  <c r="CS8" i="5" s="1"/>
  <c r="CT8" i="5" s="1"/>
  <c r="CU8" i="5" s="1"/>
  <c r="CV8" i="5" s="1"/>
  <c r="CW8" i="5" s="1"/>
  <c r="CX8" i="5" s="1"/>
  <c r="CY8" i="5" s="1"/>
  <c r="CZ8" i="5" s="1"/>
  <c r="DA8" i="5" s="1"/>
  <c r="DB8" i="5" s="1"/>
  <c r="DC8" i="5" s="1"/>
  <c r="DD8" i="5" s="1"/>
  <c r="DE8" i="5" s="1"/>
  <c r="DF8" i="5" s="1"/>
  <c r="DG8" i="5" s="1"/>
  <c r="DH8" i="5" s="1"/>
  <c r="DI8" i="5" s="1"/>
  <c r="DJ8" i="5" s="1"/>
  <c r="DK8" i="5" s="1"/>
  <c r="DL8" i="5" s="1"/>
  <c r="DM8" i="5" s="1"/>
  <c r="DN8" i="5" s="1"/>
  <c r="DO8" i="5" s="1"/>
  <c r="DP8" i="5" s="1"/>
  <c r="DQ8" i="5" s="1"/>
  <c r="DR8" i="5" s="1"/>
  <c r="DS8" i="5" s="1"/>
  <c r="DT8" i="5" s="1"/>
  <c r="DU8" i="5" s="1"/>
  <c r="DV8" i="5" s="1"/>
  <c r="DW8" i="5" s="1"/>
  <c r="DX8" i="5" s="1"/>
  <c r="DY8" i="5" s="1"/>
  <c r="DZ8" i="5" s="1"/>
  <c r="EA8" i="5" s="1"/>
  <c r="EB8" i="5" s="1"/>
  <c r="EC8" i="5" s="1"/>
  <c r="ED8" i="5" s="1"/>
  <c r="EE8" i="5" s="1"/>
  <c r="EF8" i="5" s="1"/>
  <c r="EG8" i="5" s="1"/>
  <c r="EH8" i="5" s="1"/>
  <c r="S7" i="5"/>
  <c r="O32" i="4"/>
  <c r="M32" i="4"/>
  <c r="K32" i="4"/>
  <c r="J32" i="4"/>
  <c r="H32" i="4"/>
  <c r="O31" i="4"/>
  <c r="M31" i="4"/>
  <c r="K31" i="4"/>
  <c r="J31" i="4"/>
  <c r="N31" i="4" s="1"/>
  <c r="H31" i="4"/>
  <c r="Q30" i="4"/>
  <c r="O30" i="4"/>
  <c r="N30" i="4"/>
  <c r="M30" i="4"/>
  <c r="L30" i="4"/>
  <c r="K30" i="4"/>
  <c r="P30" i="4" s="1"/>
  <c r="J30" i="4"/>
  <c r="H30" i="4"/>
  <c r="Q29" i="4"/>
  <c r="P29" i="4"/>
  <c r="M29" i="4"/>
  <c r="K29" i="4"/>
  <c r="J29" i="4"/>
  <c r="H29" i="4"/>
  <c r="O29" i="4" s="1"/>
  <c r="P28" i="4"/>
  <c r="Q28" i="4" s="1"/>
  <c r="M28" i="4"/>
  <c r="K28" i="4"/>
  <c r="J28" i="4"/>
  <c r="H28" i="4"/>
  <c r="P27" i="4"/>
  <c r="M27" i="4"/>
  <c r="K27" i="4"/>
  <c r="J27" i="4"/>
  <c r="H27" i="4"/>
  <c r="O27" i="4" s="1"/>
  <c r="G26" i="4"/>
  <c r="F26" i="4"/>
  <c r="P25" i="4"/>
  <c r="Q25" i="4" s="1"/>
  <c r="O25" i="4"/>
  <c r="N25" i="4"/>
  <c r="M25" i="4"/>
  <c r="L25" i="4"/>
  <c r="K25" i="4"/>
  <c r="J25" i="4"/>
  <c r="H25" i="4"/>
  <c r="M24" i="4"/>
  <c r="K24" i="4"/>
  <c r="J24" i="4"/>
  <c r="H24" i="4"/>
  <c r="O24" i="4" s="1"/>
  <c r="Q23" i="4"/>
  <c r="M23" i="4"/>
  <c r="K23" i="4"/>
  <c r="P23" i="4" s="1"/>
  <c r="J23" i="4"/>
  <c r="H23" i="4"/>
  <c r="O23" i="4" s="1"/>
  <c r="O22" i="4"/>
  <c r="M22" i="4"/>
  <c r="K22" i="4"/>
  <c r="J22" i="4"/>
  <c r="H22" i="4"/>
  <c r="K21" i="4"/>
  <c r="P21" i="4" s="1"/>
  <c r="J21" i="4"/>
  <c r="N21" i="4" s="1"/>
  <c r="H21" i="4"/>
  <c r="O21" i="4" s="1"/>
  <c r="O20" i="4"/>
  <c r="K20" i="4"/>
  <c r="J20" i="4"/>
  <c r="N20" i="4" s="1"/>
  <c r="H20" i="4"/>
  <c r="M19" i="4"/>
  <c r="K19" i="4"/>
  <c r="J19" i="4"/>
  <c r="H19" i="4"/>
  <c r="M18" i="4"/>
  <c r="G18" i="4"/>
  <c r="F18" i="4"/>
  <c r="P17" i="4"/>
  <c r="Q17" i="4" s="1"/>
  <c r="O17" i="4"/>
  <c r="M17" i="4"/>
  <c r="K17" i="4"/>
  <c r="J17" i="4"/>
  <c r="H17" i="4"/>
  <c r="Q16" i="4"/>
  <c r="M16" i="4"/>
  <c r="K16" i="4"/>
  <c r="P16" i="4" s="1"/>
  <c r="J16" i="4"/>
  <c r="H16" i="4"/>
  <c r="O16" i="4" s="1"/>
  <c r="N15" i="4"/>
  <c r="M15" i="4"/>
  <c r="L15" i="4"/>
  <c r="K15" i="4"/>
  <c r="J15" i="4"/>
  <c r="H15" i="4"/>
  <c r="O15" i="4" s="1"/>
  <c r="P14" i="4"/>
  <c r="N14" i="4"/>
  <c r="M14" i="4"/>
  <c r="L14" i="4"/>
  <c r="K14" i="4"/>
  <c r="Q14" i="4" s="1"/>
  <c r="J14" i="4"/>
  <c r="H14" i="4"/>
  <c r="O14" i="4" s="1"/>
  <c r="O13" i="4"/>
  <c r="M13" i="4"/>
  <c r="J13" i="4"/>
  <c r="H13" i="4"/>
  <c r="Q12" i="4"/>
  <c r="P12" i="4"/>
  <c r="O12" i="4"/>
  <c r="M12" i="4"/>
  <c r="K12" i="4"/>
  <c r="J12" i="4"/>
  <c r="H12" i="4"/>
  <c r="Q11" i="4"/>
  <c r="P11" i="4"/>
  <c r="O11" i="4"/>
  <c r="M11" i="4"/>
  <c r="K11" i="4"/>
  <c r="J11" i="4"/>
  <c r="N11" i="4" s="1"/>
  <c r="H11" i="4"/>
  <c r="M10" i="4"/>
  <c r="G10" i="4"/>
  <c r="F10" i="4"/>
  <c r="H10" i="4" s="1"/>
  <c r="U9" i="4"/>
  <c r="V9" i="4" s="1"/>
  <c r="W9" i="4" s="1"/>
  <c r="T9" i="4"/>
  <c r="S9" i="4"/>
  <c r="AE8" i="4"/>
  <c r="AF8" i="4" s="1"/>
  <c r="AG8" i="4" s="1"/>
  <c r="AH8" i="4" s="1"/>
  <c r="AI8" i="4" s="1"/>
  <c r="AJ8" i="4" s="1"/>
  <c r="AK8" i="4" s="1"/>
  <c r="AL8" i="4" s="1"/>
  <c r="AM8" i="4" s="1"/>
  <c r="AN8" i="4" s="1"/>
  <c r="AO8" i="4" s="1"/>
  <c r="AP8" i="4" s="1"/>
  <c r="AQ8" i="4" s="1"/>
  <c r="AR8" i="4" s="1"/>
  <c r="AS8" i="4" s="1"/>
  <c r="AT8" i="4" s="1"/>
  <c r="AU8" i="4" s="1"/>
  <c r="AV8" i="4" s="1"/>
  <c r="AW8" i="4" s="1"/>
  <c r="AX8" i="4" s="1"/>
  <c r="AY8" i="4" s="1"/>
  <c r="AZ8" i="4" s="1"/>
  <c r="BA8" i="4" s="1"/>
  <c r="BB8" i="4" s="1"/>
  <c r="BC8" i="4" s="1"/>
  <c r="BD8" i="4" s="1"/>
  <c r="BE8" i="4" s="1"/>
  <c r="BF8" i="4" s="1"/>
  <c r="BG8" i="4" s="1"/>
  <c r="BH8" i="4" s="1"/>
  <c r="BI8" i="4" s="1"/>
  <c r="BJ8" i="4" s="1"/>
  <c r="BK8" i="4" s="1"/>
  <c r="BL8" i="4" s="1"/>
  <c r="BM8" i="4" s="1"/>
  <c r="BN8" i="4" s="1"/>
  <c r="BO8" i="4" s="1"/>
  <c r="BP8" i="4" s="1"/>
  <c r="BQ8" i="4" s="1"/>
  <c r="BR8" i="4" s="1"/>
  <c r="BS8" i="4" s="1"/>
  <c r="BT8" i="4" s="1"/>
  <c r="BU8" i="4" s="1"/>
  <c r="BV8" i="4" s="1"/>
  <c r="BW8" i="4" s="1"/>
  <c r="BX8" i="4" s="1"/>
  <c r="BY8" i="4" s="1"/>
  <c r="BZ8" i="4" s="1"/>
  <c r="CA8" i="4" s="1"/>
  <c r="CB8" i="4" s="1"/>
  <c r="CC8" i="4" s="1"/>
  <c r="CD8" i="4" s="1"/>
  <c r="CE8" i="4" s="1"/>
  <c r="CF8" i="4" s="1"/>
  <c r="CG8" i="4" s="1"/>
  <c r="CH8" i="4" s="1"/>
  <c r="CI8" i="4" s="1"/>
  <c r="CJ8" i="4" s="1"/>
  <c r="CK8" i="4" s="1"/>
  <c r="CL8" i="4" s="1"/>
  <c r="CM8" i="4" s="1"/>
  <c r="CN8" i="4" s="1"/>
  <c r="CO8" i="4" s="1"/>
  <c r="CP8" i="4" s="1"/>
  <c r="CQ8" i="4" s="1"/>
  <c r="CR8" i="4" s="1"/>
  <c r="CS8" i="4" s="1"/>
  <c r="CT8" i="4" s="1"/>
  <c r="CU8" i="4" s="1"/>
  <c r="CV8" i="4" s="1"/>
  <c r="CW8" i="4" s="1"/>
  <c r="CX8" i="4" s="1"/>
  <c r="CY8" i="4" s="1"/>
  <c r="CZ8" i="4" s="1"/>
  <c r="DA8" i="4" s="1"/>
  <c r="DB8" i="4" s="1"/>
  <c r="DC8" i="4" s="1"/>
  <c r="DD8" i="4" s="1"/>
  <c r="DE8" i="4" s="1"/>
  <c r="DF8" i="4" s="1"/>
  <c r="DG8" i="4" s="1"/>
  <c r="DH8" i="4" s="1"/>
  <c r="DI8" i="4" s="1"/>
  <c r="DJ8" i="4" s="1"/>
  <c r="DK8" i="4" s="1"/>
  <c r="DL8" i="4" s="1"/>
  <c r="DM8" i="4" s="1"/>
  <c r="DN8" i="4" s="1"/>
  <c r="DO8" i="4" s="1"/>
  <c r="DP8" i="4" s="1"/>
  <c r="DQ8" i="4" s="1"/>
  <c r="DR8" i="4" s="1"/>
  <c r="DS8" i="4" s="1"/>
  <c r="DT8" i="4" s="1"/>
  <c r="DU8" i="4" s="1"/>
  <c r="DV8" i="4" s="1"/>
  <c r="DW8" i="4" s="1"/>
  <c r="DX8" i="4" s="1"/>
  <c r="DY8" i="4" s="1"/>
  <c r="DZ8" i="4" s="1"/>
  <c r="EA8" i="4" s="1"/>
  <c r="EB8" i="4" s="1"/>
  <c r="EC8" i="4" s="1"/>
  <c r="ED8" i="4" s="1"/>
  <c r="EE8" i="4" s="1"/>
  <c r="EF8" i="4" s="1"/>
  <c r="EG8" i="4" s="1"/>
  <c r="EH8" i="4" s="1"/>
  <c r="AD8" i="4"/>
  <c r="W8" i="4"/>
  <c r="X8" i="4" s="1"/>
  <c r="Y8" i="4" s="1"/>
  <c r="Z8" i="4" s="1"/>
  <c r="AA8" i="4" s="1"/>
  <c r="AB8" i="4" s="1"/>
  <c r="AC8" i="4" s="1"/>
  <c r="V8" i="4"/>
  <c r="S8" i="4"/>
  <c r="T8" i="4" s="1"/>
  <c r="U8" i="4" s="1"/>
  <c r="T7" i="4"/>
  <c r="S7" i="4"/>
  <c r="D4" i="4"/>
  <c r="O29" i="3"/>
  <c r="M22" i="3"/>
  <c r="L22" i="3"/>
  <c r="H22" i="3"/>
  <c r="O22" i="3" s="1"/>
  <c r="M21" i="3"/>
  <c r="L21" i="3"/>
  <c r="H21" i="3"/>
  <c r="O21" i="3" s="1"/>
  <c r="M19" i="3"/>
  <c r="H19" i="3"/>
  <c r="O19" i="3" s="1"/>
  <c r="F17" i="3"/>
  <c r="F10" i="3"/>
  <c r="S9" i="3"/>
  <c r="S7" i="3" s="1"/>
  <c r="M21" i="2"/>
  <c r="J21" i="2"/>
  <c r="N21" i="2" s="1"/>
  <c r="H21" i="2"/>
  <c r="O21" i="2" s="1"/>
  <c r="J20" i="2"/>
  <c r="K20" i="2" s="1"/>
  <c r="P20" i="2" s="1"/>
  <c r="H20" i="2"/>
  <c r="O20" i="2" s="1"/>
  <c r="J19" i="2"/>
  <c r="N19" i="2" s="1"/>
  <c r="H19" i="2"/>
  <c r="O19" i="2" s="1"/>
  <c r="M18" i="2"/>
  <c r="J18" i="2"/>
  <c r="N18" i="2" s="1"/>
  <c r="H18" i="2"/>
  <c r="O18" i="2" s="1"/>
  <c r="F17" i="2"/>
  <c r="M16" i="2"/>
  <c r="K16" i="2"/>
  <c r="J16" i="2"/>
  <c r="N16" i="2" s="1"/>
  <c r="H16" i="2"/>
  <c r="O16" i="2" s="1"/>
  <c r="M15" i="2"/>
  <c r="J15" i="2"/>
  <c r="M14" i="2"/>
  <c r="J14" i="2"/>
  <c r="N14" i="2" s="1"/>
  <c r="H14" i="2"/>
  <c r="O14" i="2" s="1"/>
  <c r="M13" i="2"/>
  <c r="J13" i="2"/>
  <c r="K13" i="2" s="1"/>
  <c r="H13" i="2"/>
  <c r="O13" i="2" s="1"/>
  <c r="M12" i="2"/>
  <c r="J12" i="2"/>
  <c r="K12" i="2" s="1"/>
  <c r="H12" i="2"/>
  <c r="O12" i="2" s="1"/>
  <c r="M11" i="2"/>
  <c r="J11" i="2"/>
  <c r="L11" i="2" s="1"/>
  <c r="H11" i="2"/>
  <c r="O11" i="2" s="1"/>
  <c r="G10" i="2"/>
  <c r="F10" i="2"/>
  <c r="M10" i="2" s="1"/>
  <c r="S9" i="2"/>
  <c r="T9" i="2" s="1"/>
  <c r="D4" i="2"/>
  <c r="E2" i="1"/>
  <c r="D2" i="1"/>
  <c r="Q11" i="6" l="1"/>
  <c r="K10" i="5"/>
  <c r="N10" i="5"/>
  <c r="T7" i="5"/>
  <c r="U9" i="5"/>
  <c r="U7" i="5" s="1"/>
  <c r="L11" i="5"/>
  <c r="N11" i="5"/>
  <c r="P10" i="5"/>
  <c r="V9" i="8"/>
  <c r="U7" i="8"/>
  <c r="P18" i="8"/>
  <c r="R18" i="8" s="1"/>
  <c r="Q29" i="8"/>
  <c r="P11" i="8"/>
  <c r="Q11" i="8" s="1"/>
  <c r="L16" i="8"/>
  <c r="P21" i="8"/>
  <c r="Q21" i="8"/>
  <c r="M26" i="8"/>
  <c r="N28" i="8"/>
  <c r="J26" i="8"/>
  <c r="K26" i="8" s="1"/>
  <c r="P16" i="8"/>
  <c r="Q16" i="8" s="1"/>
  <c r="N18" i="8"/>
  <c r="P28" i="8"/>
  <c r="Q28" i="8" s="1"/>
  <c r="J10" i="8"/>
  <c r="K10" i="8" s="1"/>
  <c r="H26" i="8"/>
  <c r="O18" i="8"/>
  <c r="Q18" i="8" s="1"/>
  <c r="L28" i="8"/>
  <c r="Q14" i="8"/>
  <c r="P24" i="8"/>
  <c r="Q24" i="8" s="1"/>
  <c r="N12" i="8"/>
  <c r="Q12" i="8"/>
  <c r="P17" i="8"/>
  <c r="Q17" i="8" s="1"/>
  <c r="P22" i="8"/>
  <c r="Q22" i="8" s="1"/>
  <c r="L27" i="8"/>
  <c r="O19" i="8"/>
  <c r="L15" i="8"/>
  <c r="Q19" i="8"/>
  <c r="P29" i="8"/>
  <c r="L25" i="8"/>
  <c r="L32" i="8"/>
  <c r="L14" i="8"/>
  <c r="L24" i="8"/>
  <c r="N31" i="8"/>
  <c r="L17" i="8"/>
  <c r="H10" i="8"/>
  <c r="L19" i="8"/>
  <c r="L29" i="8"/>
  <c r="N19" i="8"/>
  <c r="O12" i="8"/>
  <c r="L13" i="8"/>
  <c r="P15" i="8"/>
  <c r="Q15" i="8" s="1"/>
  <c r="P27" i="8"/>
  <c r="Q27" i="8" s="1"/>
  <c r="L22" i="8"/>
  <c r="P31" i="8"/>
  <c r="Q31" i="8" s="1"/>
  <c r="P25" i="8"/>
  <c r="Q25" i="8" s="1"/>
  <c r="P32" i="8"/>
  <c r="Q32" i="8" s="1"/>
  <c r="L12" i="8"/>
  <c r="K21" i="3"/>
  <c r="P21" i="3" s="1"/>
  <c r="S8" i="3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BK8" i="3" s="1"/>
  <c r="BL8" i="3" s="1"/>
  <c r="BM8" i="3" s="1"/>
  <c r="BN8" i="3" s="1"/>
  <c r="BO8" i="3" s="1"/>
  <c r="BP8" i="3" s="1"/>
  <c r="BQ8" i="3" s="1"/>
  <c r="BR8" i="3" s="1"/>
  <c r="BS8" i="3" s="1"/>
  <c r="BT8" i="3" s="1"/>
  <c r="BU8" i="3" s="1"/>
  <c r="BV8" i="3" s="1"/>
  <c r="BW8" i="3" s="1"/>
  <c r="BX8" i="3" s="1"/>
  <c r="BY8" i="3" s="1"/>
  <c r="BZ8" i="3" s="1"/>
  <c r="CA8" i="3" s="1"/>
  <c r="CB8" i="3" s="1"/>
  <c r="CC8" i="3" s="1"/>
  <c r="CD8" i="3" s="1"/>
  <c r="CE8" i="3" s="1"/>
  <c r="CF8" i="3" s="1"/>
  <c r="CG8" i="3" s="1"/>
  <c r="CH8" i="3" s="1"/>
  <c r="CI8" i="3" s="1"/>
  <c r="CJ8" i="3" s="1"/>
  <c r="CK8" i="3" s="1"/>
  <c r="CL8" i="3" s="1"/>
  <c r="CM8" i="3" s="1"/>
  <c r="CN8" i="3" s="1"/>
  <c r="CO8" i="3" s="1"/>
  <c r="CP8" i="3" s="1"/>
  <c r="CQ8" i="3" s="1"/>
  <c r="CR8" i="3" s="1"/>
  <c r="CS8" i="3" s="1"/>
  <c r="CT8" i="3" s="1"/>
  <c r="CU8" i="3" s="1"/>
  <c r="CV8" i="3" s="1"/>
  <c r="CW8" i="3" s="1"/>
  <c r="CX8" i="3" s="1"/>
  <c r="CY8" i="3" s="1"/>
  <c r="CZ8" i="3" s="1"/>
  <c r="DA8" i="3" s="1"/>
  <c r="DB8" i="3" s="1"/>
  <c r="DC8" i="3" s="1"/>
  <c r="DD8" i="3" s="1"/>
  <c r="DE8" i="3" s="1"/>
  <c r="DF8" i="3" s="1"/>
  <c r="DG8" i="3" s="1"/>
  <c r="DH8" i="3" s="1"/>
  <c r="DI8" i="3" s="1"/>
  <c r="DJ8" i="3" s="1"/>
  <c r="DK8" i="3" s="1"/>
  <c r="DL8" i="3" s="1"/>
  <c r="DM8" i="3" s="1"/>
  <c r="DN8" i="3" s="1"/>
  <c r="DO8" i="3" s="1"/>
  <c r="DP8" i="3" s="1"/>
  <c r="DQ8" i="3" s="1"/>
  <c r="DR8" i="3" s="1"/>
  <c r="DS8" i="3" s="1"/>
  <c r="DT8" i="3" s="1"/>
  <c r="DU8" i="3" s="1"/>
  <c r="DV8" i="3" s="1"/>
  <c r="DW8" i="3" s="1"/>
  <c r="DX8" i="3" s="1"/>
  <c r="DY8" i="3" s="1"/>
  <c r="DZ8" i="3" s="1"/>
  <c r="EA8" i="3" s="1"/>
  <c r="EB8" i="3" s="1"/>
  <c r="EC8" i="3" s="1"/>
  <c r="ED8" i="3" s="1"/>
  <c r="EE8" i="3" s="1"/>
  <c r="EF8" i="3" s="1"/>
  <c r="EG8" i="3" s="1"/>
  <c r="EH8" i="3" s="1"/>
  <c r="D4" i="1"/>
  <c r="D5" i="1"/>
  <c r="K22" i="3"/>
  <c r="P22" i="3" s="1"/>
  <c r="T9" i="3"/>
  <c r="T7" i="3" s="1"/>
  <c r="E3" i="1"/>
  <c r="H17" i="2"/>
  <c r="N20" i="2"/>
  <c r="L14" i="2"/>
  <c r="K21" i="2"/>
  <c r="P21" i="2" s="1"/>
  <c r="H10" i="2"/>
  <c r="N11" i="2"/>
  <c r="K14" i="2"/>
  <c r="P14" i="2" s="1"/>
  <c r="Q14" i="2" s="1"/>
  <c r="L21" i="2"/>
  <c r="J17" i="2"/>
  <c r="K17" i="2" s="1"/>
  <c r="N12" i="2"/>
  <c r="K18" i="2"/>
  <c r="P18" i="2" s="1"/>
  <c r="Q18" i="2" s="1"/>
  <c r="L18" i="2"/>
  <c r="L12" i="2"/>
  <c r="S8" i="2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AR8" i="2" s="1"/>
  <c r="AS8" i="2" s="1"/>
  <c r="AT8" i="2" s="1"/>
  <c r="AU8" i="2" s="1"/>
  <c r="AV8" i="2" s="1"/>
  <c r="AW8" i="2" s="1"/>
  <c r="AX8" i="2" s="1"/>
  <c r="AY8" i="2" s="1"/>
  <c r="AZ8" i="2" s="1"/>
  <c r="BA8" i="2" s="1"/>
  <c r="BB8" i="2" s="1"/>
  <c r="BC8" i="2" s="1"/>
  <c r="BD8" i="2" s="1"/>
  <c r="BE8" i="2" s="1"/>
  <c r="BF8" i="2" s="1"/>
  <c r="BG8" i="2" s="1"/>
  <c r="BH8" i="2" s="1"/>
  <c r="BI8" i="2" s="1"/>
  <c r="BJ8" i="2" s="1"/>
  <c r="BK8" i="2" s="1"/>
  <c r="BL8" i="2" s="1"/>
  <c r="BM8" i="2" s="1"/>
  <c r="BN8" i="2" s="1"/>
  <c r="BO8" i="2" s="1"/>
  <c r="BP8" i="2" s="1"/>
  <c r="BQ8" i="2" s="1"/>
  <c r="BR8" i="2" s="1"/>
  <c r="BS8" i="2" s="1"/>
  <c r="BT8" i="2" s="1"/>
  <c r="BU8" i="2" s="1"/>
  <c r="BV8" i="2" s="1"/>
  <c r="BW8" i="2" s="1"/>
  <c r="BX8" i="2" s="1"/>
  <c r="BY8" i="2" s="1"/>
  <c r="BZ8" i="2" s="1"/>
  <c r="CA8" i="2" s="1"/>
  <c r="CB8" i="2" s="1"/>
  <c r="CC8" i="2" s="1"/>
  <c r="CD8" i="2" s="1"/>
  <c r="CE8" i="2" s="1"/>
  <c r="CF8" i="2" s="1"/>
  <c r="CG8" i="2" s="1"/>
  <c r="CH8" i="2" s="1"/>
  <c r="CI8" i="2" s="1"/>
  <c r="CJ8" i="2" s="1"/>
  <c r="CK8" i="2" s="1"/>
  <c r="CL8" i="2" s="1"/>
  <c r="CM8" i="2" s="1"/>
  <c r="CN8" i="2" s="1"/>
  <c r="CO8" i="2" s="1"/>
  <c r="CP8" i="2" s="1"/>
  <c r="CQ8" i="2" s="1"/>
  <c r="CR8" i="2" s="1"/>
  <c r="CS8" i="2" s="1"/>
  <c r="CT8" i="2" s="1"/>
  <c r="CU8" i="2" s="1"/>
  <c r="CV8" i="2" s="1"/>
  <c r="CW8" i="2" s="1"/>
  <c r="CX8" i="2" s="1"/>
  <c r="CY8" i="2" s="1"/>
  <c r="CZ8" i="2" s="1"/>
  <c r="DA8" i="2" s="1"/>
  <c r="DB8" i="2" s="1"/>
  <c r="DC8" i="2" s="1"/>
  <c r="DD8" i="2" s="1"/>
  <c r="DE8" i="2" s="1"/>
  <c r="DF8" i="2" s="1"/>
  <c r="DG8" i="2" s="1"/>
  <c r="DH8" i="2" s="1"/>
  <c r="DI8" i="2" s="1"/>
  <c r="DJ8" i="2" s="1"/>
  <c r="DK8" i="2" s="1"/>
  <c r="DL8" i="2" s="1"/>
  <c r="DM8" i="2" s="1"/>
  <c r="DN8" i="2" s="1"/>
  <c r="DO8" i="2" s="1"/>
  <c r="DP8" i="2" s="1"/>
  <c r="DQ8" i="2" s="1"/>
  <c r="DR8" i="2" s="1"/>
  <c r="DS8" i="2" s="1"/>
  <c r="DT8" i="2" s="1"/>
  <c r="DU8" i="2" s="1"/>
  <c r="DV8" i="2" s="1"/>
  <c r="DW8" i="2" s="1"/>
  <c r="DX8" i="2" s="1"/>
  <c r="DY8" i="2" s="1"/>
  <c r="DZ8" i="2" s="1"/>
  <c r="EA8" i="2" s="1"/>
  <c r="EB8" i="2" s="1"/>
  <c r="EC8" i="2" s="1"/>
  <c r="ED8" i="2" s="1"/>
  <c r="EE8" i="2" s="1"/>
  <c r="EF8" i="2" s="1"/>
  <c r="EG8" i="2" s="1"/>
  <c r="EH8" i="2" s="1"/>
  <c r="S7" i="2"/>
  <c r="D3" i="1"/>
  <c r="P13" i="2"/>
  <c r="Q13" i="2" s="1"/>
  <c r="N13" i="2"/>
  <c r="P15" i="4"/>
  <c r="Q15" i="4" s="1"/>
  <c r="L13" i="2"/>
  <c r="Q20" i="2"/>
  <c r="U9" i="2"/>
  <c r="T7" i="2"/>
  <c r="L15" i="2"/>
  <c r="K15" i="2"/>
  <c r="L19" i="3"/>
  <c r="K19" i="3"/>
  <c r="P12" i="2"/>
  <c r="Q12" i="2" s="1"/>
  <c r="V9" i="5"/>
  <c r="P20" i="4"/>
  <c r="Q20" i="4"/>
  <c r="I10" i="2"/>
  <c r="J10" i="2"/>
  <c r="K10" i="2" s="1"/>
  <c r="N24" i="4"/>
  <c r="L24" i="4"/>
  <c r="N15" i="2"/>
  <c r="L13" i="4"/>
  <c r="K13" i="4"/>
  <c r="N13" i="4"/>
  <c r="N17" i="2"/>
  <c r="M17" i="2"/>
  <c r="L29" i="4"/>
  <c r="N29" i="4"/>
  <c r="I17" i="2"/>
  <c r="G3" i="1" s="1"/>
  <c r="H3" i="1" s="1"/>
  <c r="P24" i="4"/>
  <c r="Q24" i="4" s="1"/>
  <c r="V7" i="4"/>
  <c r="O18" i="5"/>
  <c r="Q18" i="5" s="1"/>
  <c r="P18" i="5"/>
  <c r="J26" i="6"/>
  <c r="K26" i="6" s="1"/>
  <c r="N29" i="6"/>
  <c r="L29" i="6"/>
  <c r="P31" i="5"/>
  <c r="Q31" i="5" s="1"/>
  <c r="N16" i="6"/>
  <c r="L16" i="6"/>
  <c r="I18" i="6"/>
  <c r="O19" i="6"/>
  <c r="P29" i="6"/>
  <c r="Q29" i="6" s="1"/>
  <c r="N22" i="4"/>
  <c r="L22" i="4"/>
  <c r="K18" i="5"/>
  <c r="I10" i="6"/>
  <c r="O14" i="6"/>
  <c r="N19" i="6"/>
  <c r="J18" i="6"/>
  <c r="L19" i="6"/>
  <c r="P27" i="6"/>
  <c r="Q27" i="6" s="1"/>
  <c r="N32" i="4"/>
  <c r="L32" i="4"/>
  <c r="P12" i="5"/>
  <c r="Q12" i="5" s="1"/>
  <c r="X9" i="4"/>
  <c r="W7" i="4"/>
  <c r="I18" i="4"/>
  <c r="O19" i="4"/>
  <c r="P32" i="4"/>
  <c r="Q32" i="4" s="1"/>
  <c r="P16" i="2"/>
  <c r="Q16" i="2" s="1"/>
  <c r="K19" i="2"/>
  <c r="N19" i="4"/>
  <c r="L19" i="4"/>
  <c r="J18" i="4"/>
  <c r="K18" i="4" s="1"/>
  <c r="R10" i="5"/>
  <c r="P22" i="4"/>
  <c r="Q22" i="4" s="1"/>
  <c r="O28" i="4"/>
  <c r="I26" i="4"/>
  <c r="K11" i="2"/>
  <c r="Q21" i="2"/>
  <c r="N28" i="4"/>
  <c r="L28" i="4"/>
  <c r="O10" i="5"/>
  <c r="Q10" i="5" s="1"/>
  <c r="L16" i="2"/>
  <c r="U7" i="4"/>
  <c r="N17" i="4"/>
  <c r="L17" i="4"/>
  <c r="N14" i="5"/>
  <c r="L14" i="5"/>
  <c r="P19" i="4"/>
  <c r="Q19" i="4"/>
  <c r="M26" i="4"/>
  <c r="L11" i="4"/>
  <c r="H26" i="4"/>
  <c r="N15" i="5"/>
  <c r="L15" i="5"/>
  <c r="N24" i="5"/>
  <c r="L24" i="5"/>
  <c r="N12" i="6"/>
  <c r="L12" i="6"/>
  <c r="Q22" i="5"/>
  <c r="P22" i="5"/>
  <c r="J10" i="6"/>
  <c r="I26" i="5"/>
  <c r="O27" i="5"/>
  <c r="Q29" i="5"/>
  <c r="P29" i="5"/>
  <c r="J26" i="5"/>
  <c r="N27" i="5"/>
  <c r="L27" i="5"/>
  <c r="P25" i="6"/>
  <c r="Q25" i="6" s="1"/>
  <c r="J26" i="4"/>
  <c r="K26" i="4" s="1"/>
  <c r="N27" i="4"/>
  <c r="J10" i="4"/>
  <c r="I10" i="4"/>
  <c r="N16" i="4"/>
  <c r="L16" i="4"/>
  <c r="Q27" i="4"/>
  <c r="P31" i="4"/>
  <c r="Q31" i="4" s="1"/>
  <c r="M10" i="5"/>
  <c r="Q13" i="5"/>
  <c r="Q20" i="5"/>
  <c r="P32" i="5"/>
  <c r="Q32" i="5" s="1"/>
  <c r="S8" i="6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AJ8" i="6" s="1"/>
  <c r="AK8" i="6" s="1"/>
  <c r="AL8" i="6" s="1"/>
  <c r="AM8" i="6" s="1"/>
  <c r="AN8" i="6" s="1"/>
  <c r="AO8" i="6" s="1"/>
  <c r="AP8" i="6" s="1"/>
  <c r="AQ8" i="6" s="1"/>
  <c r="AR8" i="6" s="1"/>
  <c r="AS8" i="6" s="1"/>
  <c r="AT8" i="6" s="1"/>
  <c r="AU8" i="6" s="1"/>
  <c r="AV8" i="6" s="1"/>
  <c r="AW8" i="6" s="1"/>
  <c r="AX8" i="6" s="1"/>
  <c r="AY8" i="6" s="1"/>
  <c r="AZ8" i="6" s="1"/>
  <c r="BA8" i="6" s="1"/>
  <c r="BB8" i="6" s="1"/>
  <c r="BC8" i="6" s="1"/>
  <c r="BD8" i="6" s="1"/>
  <c r="BE8" i="6" s="1"/>
  <c r="BF8" i="6" s="1"/>
  <c r="BG8" i="6" s="1"/>
  <c r="BH8" i="6" s="1"/>
  <c r="BI8" i="6" s="1"/>
  <c r="BJ8" i="6" s="1"/>
  <c r="BK8" i="6" s="1"/>
  <c r="BL8" i="6" s="1"/>
  <c r="BM8" i="6" s="1"/>
  <c r="BN8" i="6" s="1"/>
  <c r="BO8" i="6" s="1"/>
  <c r="BP8" i="6" s="1"/>
  <c r="BQ8" i="6" s="1"/>
  <c r="BR8" i="6" s="1"/>
  <c r="BS8" i="6" s="1"/>
  <c r="BT8" i="6" s="1"/>
  <c r="BU8" i="6" s="1"/>
  <c r="BV8" i="6" s="1"/>
  <c r="BW8" i="6" s="1"/>
  <c r="BX8" i="6" s="1"/>
  <c r="BY8" i="6" s="1"/>
  <c r="BZ8" i="6" s="1"/>
  <c r="CA8" i="6" s="1"/>
  <c r="CB8" i="6" s="1"/>
  <c r="CC8" i="6" s="1"/>
  <c r="CD8" i="6" s="1"/>
  <c r="CE8" i="6" s="1"/>
  <c r="CF8" i="6" s="1"/>
  <c r="CG8" i="6" s="1"/>
  <c r="CH8" i="6" s="1"/>
  <c r="CI8" i="6" s="1"/>
  <c r="CJ8" i="6" s="1"/>
  <c r="CK8" i="6" s="1"/>
  <c r="CL8" i="6" s="1"/>
  <c r="CM8" i="6" s="1"/>
  <c r="CN8" i="6" s="1"/>
  <c r="CO8" i="6" s="1"/>
  <c r="CP8" i="6" s="1"/>
  <c r="CQ8" i="6" s="1"/>
  <c r="CR8" i="6" s="1"/>
  <c r="CS8" i="6" s="1"/>
  <c r="CT8" i="6" s="1"/>
  <c r="CU8" i="6" s="1"/>
  <c r="CV8" i="6" s="1"/>
  <c r="CW8" i="6" s="1"/>
  <c r="CX8" i="6" s="1"/>
  <c r="CY8" i="6" s="1"/>
  <c r="CZ8" i="6" s="1"/>
  <c r="DA8" i="6" s="1"/>
  <c r="DB8" i="6" s="1"/>
  <c r="DC8" i="6" s="1"/>
  <c r="DD8" i="6" s="1"/>
  <c r="DE8" i="6" s="1"/>
  <c r="DF8" i="6" s="1"/>
  <c r="DG8" i="6" s="1"/>
  <c r="DH8" i="6" s="1"/>
  <c r="DI8" i="6" s="1"/>
  <c r="DJ8" i="6" s="1"/>
  <c r="DK8" i="6" s="1"/>
  <c r="DL8" i="6" s="1"/>
  <c r="DM8" i="6" s="1"/>
  <c r="DN8" i="6" s="1"/>
  <c r="DO8" i="6" s="1"/>
  <c r="DP8" i="6" s="1"/>
  <c r="DQ8" i="6" s="1"/>
  <c r="DR8" i="6" s="1"/>
  <c r="DS8" i="6" s="1"/>
  <c r="DT8" i="6" s="1"/>
  <c r="DU8" i="6" s="1"/>
  <c r="DV8" i="6" s="1"/>
  <c r="DW8" i="6" s="1"/>
  <c r="DX8" i="6" s="1"/>
  <c r="DY8" i="6" s="1"/>
  <c r="DZ8" i="6" s="1"/>
  <c r="EA8" i="6" s="1"/>
  <c r="EB8" i="6" s="1"/>
  <c r="EC8" i="6" s="1"/>
  <c r="ED8" i="6" s="1"/>
  <c r="EE8" i="6" s="1"/>
  <c r="EF8" i="6" s="1"/>
  <c r="EG8" i="6" s="1"/>
  <c r="EH8" i="6" s="1"/>
  <c r="T9" i="6"/>
  <c r="S7" i="6"/>
  <c r="N12" i="4"/>
  <c r="L12" i="4"/>
  <c r="L27" i="4"/>
  <c r="L31" i="4"/>
  <c r="Q14" i="6"/>
  <c r="N29" i="5"/>
  <c r="L29" i="5"/>
  <c r="M26" i="6"/>
  <c r="H26" i="6"/>
  <c r="O26" i="6"/>
  <c r="Q12" i="6"/>
  <c r="P14" i="6"/>
  <c r="P16" i="6"/>
  <c r="Q16" i="6" s="1"/>
  <c r="N23" i="4"/>
  <c r="L23" i="4"/>
  <c r="P24" i="5"/>
  <c r="Q24" i="5" s="1"/>
  <c r="N18" i="4"/>
  <c r="P17" i="5"/>
  <c r="Q17" i="5" s="1"/>
  <c r="Q19" i="5"/>
  <c r="Q21" i="5"/>
  <c r="L11" i="6"/>
  <c r="N13" i="6"/>
  <c r="L13" i="6"/>
  <c r="L22" i="6"/>
  <c r="Q15" i="6"/>
  <c r="P24" i="6"/>
  <c r="Q24" i="6" s="1"/>
  <c r="P26" i="6"/>
  <c r="H18" i="4"/>
  <c r="Q21" i="4"/>
  <c r="Q11" i="5"/>
  <c r="N19" i="5"/>
  <c r="Q30" i="5"/>
  <c r="P28" i="6"/>
  <c r="Q28" i="6" s="1"/>
  <c r="L24" i="6"/>
  <c r="P32" i="6"/>
  <c r="Q32" i="6" s="1"/>
  <c r="M26" i="3" l="1"/>
  <c r="R26" i="8"/>
  <c r="N26" i="8"/>
  <c r="P26" i="8"/>
  <c r="O26" i="8"/>
  <c r="Q26" i="8" s="1"/>
  <c r="O10" i="8"/>
  <c r="Q10" i="8" s="1"/>
  <c r="W9" i="8"/>
  <c r="V7" i="8"/>
  <c r="P10" i="8"/>
  <c r="R10" i="8" s="1"/>
  <c r="N10" i="8"/>
  <c r="U9" i="3"/>
  <c r="V9" i="3" s="1"/>
  <c r="Y9" i="4"/>
  <c r="X7" i="4"/>
  <c r="O18" i="6"/>
  <c r="Q18" i="6" s="1"/>
  <c r="U7" i="2"/>
  <c r="V9" i="2"/>
  <c r="N10" i="6"/>
  <c r="K10" i="6"/>
  <c r="N18" i="6"/>
  <c r="K18" i="6"/>
  <c r="P13" i="4"/>
  <c r="Q13" i="4" s="1"/>
  <c r="Q26" i="6"/>
  <c r="O10" i="6"/>
  <c r="Q10" i="6" s="1"/>
  <c r="N10" i="2"/>
  <c r="R18" i="5"/>
  <c r="O17" i="2"/>
  <c r="Q17" i="2" s="1"/>
  <c r="P17" i="2"/>
  <c r="R17" i="2" s="1"/>
  <c r="P19" i="3"/>
  <c r="P10" i="2"/>
  <c r="R10" i="2" s="1"/>
  <c r="O10" i="2"/>
  <c r="Q10" i="2" s="1"/>
  <c r="G2" i="1"/>
  <c r="H2" i="1" s="1"/>
  <c r="V7" i="5"/>
  <c r="W9" i="5"/>
  <c r="R26" i="6"/>
  <c r="N26" i="5"/>
  <c r="K26" i="5"/>
  <c r="O10" i="4"/>
  <c r="Q10" i="4" s="1"/>
  <c r="Q26" i="4"/>
  <c r="P11" i="2"/>
  <c r="Q11" i="2" s="1"/>
  <c r="K10" i="4"/>
  <c r="P10" i="4" s="1"/>
  <c r="N10" i="4"/>
  <c r="P19" i="2"/>
  <c r="Q19" i="2" s="1"/>
  <c r="P15" i="2"/>
  <c r="Q15" i="2" s="1"/>
  <c r="P26" i="4"/>
  <c r="R26" i="4" s="1"/>
  <c r="O26" i="4"/>
  <c r="N26" i="6"/>
  <c r="T7" i="6"/>
  <c r="U9" i="6"/>
  <c r="P26" i="5"/>
  <c r="O26" i="5"/>
  <c r="Q26" i="5" s="1"/>
  <c r="N26" i="4"/>
  <c r="O18" i="4"/>
  <c r="Q18" i="4" s="1"/>
  <c r="P18" i="4"/>
  <c r="R18" i="4" s="1"/>
  <c r="U7" i="3" l="1"/>
  <c r="J26" i="3"/>
  <c r="X9" i="8"/>
  <c r="W7" i="8"/>
  <c r="W9" i="3"/>
  <c r="V7" i="3"/>
  <c r="R26" i="5"/>
  <c r="P10" i="6"/>
  <c r="R10" i="6" s="1"/>
  <c r="V7" i="2"/>
  <c r="W9" i="2"/>
  <c r="U7" i="6"/>
  <c r="V9" i="6"/>
  <c r="P18" i="6"/>
  <c r="R18" i="6" s="1"/>
  <c r="Z9" i="4"/>
  <c r="Y7" i="4"/>
  <c r="R10" i="4"/>
  <c r="X9" i="5"/>
  <c r="W7" i="5"/>
  <c r="G29" i="3" l="1"/>
  <c r="J29" i="3" s="1"/>
  <c r="K26" i="3"/>
  <c r="L26" i="3"/>
  <c r="X7" i="8"/>
  <c r="Y9" i="8"/>
  <c r="AA9" i="4"/>
  <c r="Z7" i="4"/>
  <c r="V7" i="6"/>
  <c r="W9" i="6"/>
  <c r="X7" i="5"/>
  <c r="Y9" i="5"/>
  <c r="X9" i="3"/>
  <c r="W7" i="3"/>
  <c r="W7" i="2"/>
  <c r="X9" i="2"/>
  <c r="N29" i="3" l="1"/>
  <c r="K29" i="3"/>
  <c r="P29" i="3" s="1"/>
  <c r="Q29" i="3" s="1"/>
  <c r="L29" i="3"/>
  <c r="M29" i="3"/>
  <c r="Y7" i="8"/>
  <c r="Z9" i="8"/>
  <c r="Y9" i="2"/>
  <c r="X7" i="2"/>
  <c r="Y9" i="3"/>
  <c r="X7" i="3"/>
  <c r="Z9" i="5"/>
  <c r="Y7" i="5"/>
  <c r="W7" i="6"/>
  <c r="X9" i="6"/>
  <c r="AB9" i="4"/>
  <c r="AA7" i="4"/>
  <c r="AA9" i="8" l="1"/>
  <c r="Z7" i="8"/>
  <c r="AC9" i="4"/>
  <c r="AB7" i="4"/>
  <c r="Y9" i="6"/>
  <c r="X7" i="6"/>
  <c r="Z7" i="5"/>
  <c r="AA9" i="5"/>
  <c r="Z9" i="3"/>
  <c r="Y7" i="3"/>
  <c r="Y7" i="2"/>
  <c r="Z9" i="2"/>
  <c r="AA7" i="8" l="1"/>
  <c r="AB9" i="8"/>
  <c r="AA9" i="3"/>
  <c r="Z7" i="3"/>
  <c r="Y7" i="6"/>
  <c r="Z9" i="6"/>
  <c r="AA9" i="2"/>
  <c r="Z7" i="2"/>
  <c r="AB9" i="5"/>
  <c r="AA7" i="5"/>
  <c r="AD9" i="4"/>
  <c r="AC7" i="4"/>
  <c r="AC9" i="8" l="1"/>
  <c r="AB7" i="8"/>
  <c r="AE9" i="4"/>
  <c r="AD7" i="4"/>
  <c r="AA7" i="2"/>
  <c r="AB9" i="2"/>
  <c r="AB7" i="5"/>
  <c r="AC9" i="5"/>
  <c r="AA9" i="6"/>
  <c r="Z7" i="6"/>
  <c r="AB9" i="3"/>
  <c r="AA7" i="3"/>
  <c r="AC7" i="8" l="1"/>
  <c r="AD9" i="8"/>
  <c r="AC9" i="2"/>
  <c r="AB7" i="2"/>
  <c r="AC9" i="3"/>
  <c r="AB7" i="3"/>
  <c r="AA7" i="6"/>
  <c r="AB9" i="6"/>
  <c r="AD9" i="5"/>
  <c r="AC7" i="5"/>
  <c r="AE7" i="4"/>
  <c r="AF9" i="4"/>
  <c r="AD7" i="8" l="1"/>
  <c r="AE9" i="8"/>
  <c r="AF7" i="4"/>
  <c r="AG9" i="4"/>
  <c r="AD7" i="5"/>
  <c r="AE9" i="5"/>
  <c r="AC9" i="6"/>
  <c r="AB7" i="6"/>
  <c r="AC7" i="3"/>
  <c r="AD9" i="3"/>
  <c r="AD9" i="2"/>
  <c r="AC7" i="2"/>
  <c r="AF9" i="8" l="1"/>
  <c r="AE7" i="8"/>
  <c r="AE9" i="2"/>
  <c r="AD7" i="2"/>
  <c r="AD7" i="3"/>
  <c r="AE9" i="3"/>
  <c r="AC7" i="6"/>
  <c r="AD9" i="6"/>
  <c r="AF9" i="5"/>
  <c r="AE7" i="5"/>
  <c r="AG7" i="4"/>
  <c r="AH9" i="4"/>
  <c r="AF7" i="8" l="1"/>
  <c r="AG9" i="8"/>
  <c r="AH7" i="4"/>
  <c r="AI9" i="4"/>
  <c r="AG9" i="5"/>
  <c r="AF7" i="5"/>
  <c r="AE9" i="6"/>
  <c r="AD7" i="6"/>
  <c r="AF9" i="3"/>
  <c r="AE7" i="3"/>
  <c r="AF9" i="2"/>
  <c r="AE7" i="2"/>
  <c r="AG7" i="8" l="1"/>
  <c r="AH9" i="8"/>
  <c r="AG9" i="2"/>
  <c r="AF7" i="2"/>
  <c r="AF7" i="3"/>
  <c r="AG9" i="3"/>
  <c r="AF9" i="6"/>
  <c r="AE7" i="6"/>
  <c r="AH9" i="5"/>
  <c r="AG7" i="5"/>
  <c r="AJ9" i="4"/>
  <c r="AI7" i="4"/>
  <c r="AH7" i="8" l="1"/>
  <c r="AI9" i="8"/>
  <c r="AK9" i="4"/>
  <c r="AJ7" i="4"/>
  <c r="AI9" i="5"/>
  <c r="AH7" i="5"/>
  <c r="AG9" i="6"/>
  <c r="AF7" i="6"/>
  <c r="AG7" i="3"/>
  <c r="AH9" i="3"/>
  <c r="AH9" i="2"/>
  <c r="AG7" i="2"/>
  <c r="AI7" i="8" l="1"/>
  <c r="AJ9" i="8"/>
  <c r="AL9" i="4"/>
  <c r="AK7" i="4"/>
  <c r="AI9" i="2"/>
  <c r="AH7" i="2"/>
  <c r="AH7" i="3"/>
  <c r="AI9" i="3"/>
  <c r="AH9" i="6"/>
  <c r="AG7" i="6"/>
  <c r="AJ9" i="5"/>
  <c r="AI7" i="5"/>
  <c r="AJ7" i="8" l="1"/>
  <c r="AK9" i="8"/>
  <c r="AI9" i="6"/>
  <c r="AH7" i="6"/>
  <c r="AJ7" i="5"/>
  <c r="AK9" i="5"/>
  <c r="AJ9" i="3"/>
  <c r="AI7" i="3"/>
  <c r="AI7" i="2"/>
  <c r="AJ9" i="2"/>
  <c r="AM9" i="4"/>
  <c r="AL7" i="4"/>
  <c r="AK7" i="8" l="1"/>
  <c r="AL9" i="8"/>
  <c r="AN9" i="4"/>
  <c r="AM7" i="4"/>
  <c r="AJ7" i="3"/>
  <c r="AK9" i="3"/>
  <c r="AJ7" i="2"/>
  <c r="AK9" i="2"/>
  <c r="AL9" i="5"/>
  <c r="AK7" i="5"/>
  <c r="AJ9" i="6"/>
  <c r="AI7" i="6"/>
  <c r="AM9" i="8" l="1"/>
  <c r="AL7" i="8"/>
  <c r="AK7" i="2"/>
  <c r="AL9" i="2"/>
  <c r="AJ7" i="6"/>
  <c r="AK9" i="6"/>
  <c r="AL7" i="5"/>
  <c r="AM9" i="5"/>
  <c r="AK7" i="3"/>
  <c r="AL9" i="3"/>
  <c r="AN7" i="4"/>
  <c r="AO9" i="4"/>
  <c r="AM7" i="8" l="1"/>
  <c r="AN9" i="8"/>
  <c r="AN9" i="5"/>
  <c r="AM7" i="5"/>
  <c r="AK7" i="6"/>
  <c r="AL9" i="6"/>
  <c r="AP9" i="4"/>
  <c r="AO7" i="4"/>
  <c r="AM9" i="3"/>
  <c r="AL7" i="3"/>
  <c r="AL7" i="2"/>
  <c r="AM9" i="2"/>
  <c r="AN7" i="8" l="1"/>
  <c r="AO9" i="8"/>
  <c r="AM7" i="2"/>
  <c r="AN9" i="2"/>
  <c r="AM9" i="6"/>
  <c r="AL7" i="6"/>
  <c r="AM7" i="3"/>
  <c r="AN9" i="3"/>
  <c r="AP7" i="4"/>
  <c r="AQ9" i="4"/>
  <c r="AN7" i="5"/>
  <c r="AO9" i="5"/>
  <c r="AP9" i="8" l="1"/>
  <c r="AO7" i="8"/>
  <c r="AM7" i="6"/>
  <c r="AN9" i="6"/>
  <c r="AO7" i="5"/>
  <c r="AP9" i="5"/>
  <c r="AQ7" i="4"/>
  <c r="AR9" i="4"/>
  <c r="AO9" i="3"/>
  <c r="AN7" i="3"/>
  <c r="AN7" i="2"/>
  <c r="AO9" i="2"/>
  <c r="AP7" i="8" l="1"/>
  <c r="AQ9" i="8"/>
  <c r="AS9" i="4"/>
  <c r="AR7" i="4"/>
  <c r="AP7" i="5"/>
  <c r="AQ9" i="5"/>
  <c r="AO7" i="2"/>
  <c r="AP9" i="2"/>
  <c r="AP9" i="3"/>
  <c r="AO7" i="3"/>
  <c r="AO9" i="6"/>
  <c r="AN7" i="6"/>
  <c r="AQ7" i="8" l="1"/>
  <c r="AR9" i="8"/>
  <c r="AQ9" i="2"/>
  <c r="AP7" i="2"/>
  <c r="AO7" i="6"/>
  <c r="AP9" i="6"/>
  <c r="AP7" i="3"/>
  <c r="AQ9" i="3"/>
  <c r="AR9" i="5"/>
  <c r="AQ7" i="5"/>
  <c r="AT9" i="4"/>
  <c r="AS7" i="4"/>
  <c r="AR7" i="8" l="1"/>
  <c r="AS9" i="8"/>
  <c r="AQ7" i="3"/>
  <c r="AR9" i="3"/>
  <c r="AU9" i="4"/>
  <c r="AT7" i="4"/>
  <c r="AS9" i="5"/>
  <c r="AR7" i="5"/>
  <c r="AP7" i="6"/>
  <c r="AQ9" i="6"/>
  <c r="AR9" i="2"/>
  <c r="AQ7" i="2"/>
  <c r="AT9" i="8" l="1"/>
  <c r="AS7" i="8"/>
  <c r="AQ7" i="6"/>
  <c r="AR9" i="6"/>
  <c r="AS9" i="2"/>
  <c r="AR7" i="2"/>
  <c r="AT9" i="5"/>
  <c r="AS7" i="5"/>
  <c r="AV9" i="4"/>
  <c r="AU7" i="4"/>
  <c r="AR7" i="3"/>
  <c r="AS9" i="3"/>
  <c r="AT7" i="8" l="1"/>
  <c r="AU9" i="8"/>
  <c r="AT9" i="3"/>
  <c r="AS7" i="3"/>
  <c r="AU9" i="5"/>
  <c r="AT7" i="5"/>
  <c r="AW9" i="4"/>
  <c r="AV7" i="4"/>
  <c r="AR7" i="6"/>
  <c r="AS9" i="6"/>
  <c r="AT9" i="2"/>
  <c r="AS7" i="2"/>
  <c r="AV9" i="8" l="1"/>
  <c r="AU7" i="8"/>
  <c r="AW7" i="4"/>
  <c r="AX9" i="4"/>
  <c r="AS7" i="6"/>
  <c r="AT9" i="6"/>
  <c r="AU9" i="2"/>
  <c r="AT7" i="2"/>
  <c r="AV9" i="5"/>
  <c r="AU7" i="5"/>
  <c r="AU9" i="3"/>
  <c r="AT7" i="3"/>
  <c r="AV7" i="8" l="1"/>
  <c r="AW9" i="8"/>
  <c r="AV9" i="3"/>
  <c r="AU7" i="3"/>
  <c r="AV7" i="5"/>
  <c r="AW9" i="5"/>
  <c r="AV9" i="2"/>
  <c r="AU7" i="2"/>
  <c r="AX7" i="4"/>
  <c r="AY9" i="4"/>
  <c r="AU9" i="6"/>
  <c r="AT7" i="6"/>
  <c r="AW7" i="8" l="1"/>
  <c r="AX9" i="8"/>
  <c r="AZ9" i="4"/>
  <c r="AY7" i="4"/>
  <c r="AV9" i="6"/>
  <c r="AU7" i="6"/>
  <c r="AW9" i="2"/>
  <c r="AV7" i="2"/>
  <c r="AW7" i="5"/>
  <c r="AX9" i="5"/>
  <c r="AW9" i="3"/>
  <c r="AV7" i="3"/>
  <c r="AX7" i="8" l="1"/>
  <c r="AY9" i="8"/>
  <c r="AX9" i="3"/>
  <c r="AW7" i="3"/>
  <c r="AX7" i="5"/>
  <c r="AY9" i="5"/>
  <c r="AW7" i="2"/>
  <c r="AX9" i="2"/>
  <c r="AW9" i="6"/>
  <c r="AV7" i="6"/>
  <c r="BA9" i="4"/>
  <c r="AZ7" i="4"/>
  <c r="AY7" i="8" l="1"/>
  <c r="AZ9" i="8"/>
  <c r="AX9" i="6"/>
  <c r="AW7" i="6"/>
  <c r="AZ9" i="5"/>
  <c r="AY7" i="5"/>
  <c r="BA7" i="4"/>
  <c r="BB9" i="4"/>
  <c r="AX7" i="2"/>
  <c r="AY9" i="2"/>
  <c r="AY9" i="3"/>
  <c r="AX7" i="3"/>
  <c r="AZ7" i="8" l="1"/>
  <c r="BA9" i="8"/>
  <c r="BB7" i="4"/>
  <c r="BC9" i="4"/>
  <c r="AY7" i="3"/>
  <c r="AZ9" i="3"/>
  <c r="AY7" i="2"/>
  <c r="AZ9" i="2"/>
  <c r="AZ7" i="5"/>
  <c r="BA9" i="5"/>
  <c r="AX7" i="6"/>
  <c r="AY9" i="6"/>
  <c r="BA7" i="8" l="1"/>
  <c r="BB9" i="8"/>
  <c r="BB9" i="5"/>
  <c r="BA7" i="5"/>
  <c r="BA9" i="2"/>
  <c r="AZ7" i="2"/>
  <c r="AZ9" i="6"/>
  <c r="AY7" i="6"/>
  <c r="BA9" i="3"/>
  <c r="AZ7" i="3"/>
  <c r="BC7" i="4"/>
  <c r="BD9" i="4"/>
  <c r="BC9" i="8" l="1"/>
  <c r="BB7" i="8"/>
  <c r="BD7" i="4"/>
  <c r="BE9" i="4"/>
  <c r="BA7" i="3"/>
  <c r="BB9" i="3"/>
  <c r="BA9" i="6"/>
  <c r="AZ7" i="6"/>
  <c r="BB9" i="2"/>
  <c r="BA7" i="2"/>
  <c r="BB7" i="5"/>
  <c r="BC9" i="5"/>
  <c r="BD9" i="8" l="1"/>
  <c r="BC7" i="8"/>
  <c r="BC7" i="5"/>
  <c r="BD9" i="5"/>
  <c r="BC9" i="2"/>
  <c r="BB7" i="2"/>
  <c r="BE7" i="4"/>
  <c r="BF9" i="4"/>
  <c r="BB9" i="6"/>
  <c r="BA7" i="6"/>
  <c r="BC9" i="3"/>
  <c r="BB7" i="3"/>
  <c r="BE9" i="8" l="1"/>
  <c r="BD7" i="8"/>
  <c r="BC9" i="6"/>
  <c r="BB7" i="6"/>
  <c r="BC7" i="2"/>
  <c r="BD9" i="2"/>
  <c r="BD7" i="5"/>
  <c r="BE9" i="5"/>
  <c r="BD9" i="3"/>
  <c r="BC7" i="3"/>
  <c r="BG9" i="4"/>
  <c r="BF7" i="4"/>
  <c r="BE7" i="8" l="1"/>
  <c r="BF9" i="8"/>
  <c r="BE9" i="3"/>
  <c r="BD7" i="3"/>
  <c r="BE7" i="5"/>
  <c r="BF9" i="5"/>
  <c r="BH9" i="4"/>
  <c r="BG7" i="4"/>
  <c r="BE9" i="2"/>
  <c r="BD7" i="2"/>
  <c r="BC7" i="6"/>
  <c r="BD9" i="6"/>
  <c r="BF7" i="8" l="1"/>
  <c r="BG9" i="8"/>
  <c r="BF9" i="2"/>
  <c r="BE7" i="2"/>
  <c r="BH7" i="4"/>
  <c r="BI9" i="4"/>
  <c r="BF7" i="5"/>
  <c r="BG9" i="5"/>
  <c r="BD7" i="6"/>
  <c r="BE9" i="6"/>
  <c r="BE7" i="3"/>
  <c r="BF9" i="3"/>
  <c r="BG7" i="8" l="1"/>
  <c r="BH9" i="8"/>
  <c r="BE7" i="6"/>
  <c r="BF9" i="6"/>
  <c r="BH9" i="5"/>
  <c r="BG7" i="5"/>
  <c r="BF7" i="3"/>
  <c r="BG9" i="3"/>
  <c r="BJ9" i="4"/>
  <c r="BI7" i="4"/>
  <c r="BG9" i="2"/>
  <c r="BF7" i="2"/>
  <c r="BH7" i="8" l="1"/>
  <c r="BI9" i="8"/>
  <c r="BK9" i="4"/>
  <c r="BJ7" i="4"/>
  <c r="BH9" i="3"/>
  <c r="BG7" i="3"/>
  <c r="BH9" i="2"/>
  <c r="BG7" i="2"/>
  <c r="BI9" i="5"/>
  <c r="BH7" i="5"/>
  <c r="BF7" i="6"/>
  <c r="BG9" i="6"/>
  <c r="BI7" i="8" l="1"/>
  <c r="BJ9" i="8"/>
  <c r="BG7" i="6"/>
  <c r="BH9" i="6"/>
  <c r="BJ9" i="5"/>
  <c r="BI7" i="5"/>
  <c r="BI9" i="2"/>
  <c r="BH7" i="2"/>
  <c r="BI9" i="3"/>
  <c r="BH7" i="3"/>
  <c r="BK7" i="4"/>
  <c r="BL9" i="4"/>
  <c r="BJ7" i="8" l="1"/>
  <c r="BK9" i="8"/>
  <c r="BJ9" i="3"/>
  <c r="BI7" i="3"/>
  <c r="BM9" i="4"/>
  <c r="BL7" i="4"/>
  <c r="BJ9" i="2"/>
  <c r="BI7" i="2"/>
  <c r="BK9" i="5"/>
  <c r="BJ7" i="5"/>
  <c r="BH7" i="6"/>
  <c r="BI9" i="6"/>
  <c r="BL9" i="8" l="1"/>
  <c r="BK7" i="8"/>
  <c r="BL9" i="5"/>
  <c r="BK7" i="5"/>
  <c r="BJ9" i="6"/>
  <c r="BI7" i="6"/>
  <c r="BK9" i="2"/>
  <c r="BJ7" i="2"/>
  <c r="BN9" i="4"/>
  <c r="BM7" i="4"/>
  <c r="BK9" i="3"/>
  <c r="BJ7" i="3"/>
  <c r="BM9" i="8" l="1"/>
  <c r="BL7" i="8"/>
  <c r="BO9" i="4"/>
  <c r="BN7" i="4"/>
  <c r="BK7" i="2"/>
  <c r="BL9" i="2"/>
  <c r="BL9" i="3"/>
  <c r="BK7" i="3"/>
  <c r="BJ7" i="6"/>
  <c r="BK9" i="6"/>
  <c r="BM9" i="5"/>
  <c r="BL7" i="5"/>
  <c r="BM7" i="8" l="1"/>
  <c r="BN9" i="8"/>
  <c r="BN9" i="5"/>
  <c r="BM7" i="5"/>
  <c r="BL9" i="6"/>
  <c r="BK7" i="6"/>
  <c r="BM9" i="3"/>
  <c r="BL7" i="3"/>
  <c r="BL7" i="2"/>
  <c r="BM9" i="2"/>
  <c r="BP9" i="4"/>
  <c r="BO7" i="4"/>
  <c r="BN7" i="8" l="1"/>
  <c r="BO9" i="8"/>
  <c r="BP7" i="4"/>
  <c r="BQ9" i="4"/>
  <c r="BM7" i="3"/>
  <c r="BN9" i="3"/>
  <c r="BL7" i="6"/>
  <c r="BM9" i="6"/>
  <c r="BM7" i="2"/>
  <c r="BN9" i="2"/>
  <c r="BO9" i="5"/>
  <c r="BN7" i="5"/>
  <c r="BO7" i="8" l="1"/>
  <c r="BP9" i="8"/>
  <c r="BP9" i="5"/>
  <c r="BO7" i="5"/>
  <c r="BN9" i="6"/>
  <c r="BM7" i="6"/>
  <c r="BN7" i="2"/>
  <c r="BO9" i="2"/>
  <c r="BO9" i="3"/>
  <c r="BN7" i="3"/>
  <c r="BR9" i="4"/>
  <c r="BQ7" i="4"/>
  <c r="BP7" i="8" l="1"/>
  <c r="BQ9" i="8"/>
  <c r="BP9" i="3"/>
  <c r="BO7" i="3"/>
  <c r="BR7" i="4"/>
  <c r="BS9" i="4"/>
  <c r="BO7" i="2"/>
  <c r="BP9" i="2"/>
  <c r="BO9" i="6"/>
  <c r="BN7" i="6"/>
  <c r="BP7" i="5"/>
  <c r="BQ9" i="5"/>
  <c r="BQ7" i="8" l="1"/>
  <c r="BR9" i="8"/>
  <c r="BQ7" i="5"/>
  <c r="BR9" i="5"/>
  <c r="BP9" i="6"/>
  <c r="BO7" i="6"/>
  <c r="BP7" i="2"/>
  <c r="BQ9" i="2"/>
  <c r="BS7" i="4"/>
  <c r="BT9" i="4"/>
  <c r="BQ9" i="3"/>
  <c r="BP7" i="3"/>
  <c r="BS9" i="8" l="1"/>
  <c r="BR7" i="8"/>
  <c r="BR9" i="3"/>
  <c r="BQ7" i="3"/>
  <c r="BQ7" i="2"/>
  <c r="BR9" i="2"/>
  <c r="BT7" i="4"/>
  <c r="BU9" i="4"/>
  <c r="BQ9" i="6"/>
  <c r="BP7" i="6"/>
  <c r="BR7" i="5"/>
  <c r="BS9" i="5"/>
  <c r="BT9" i="8" l="1"/>
  <c r="BS7" i="8"/>
  <c r="BS7" i="5"/>
  <c r="BT9" i="5"/>
  <c r="BS9" i="2"/>
  <c r="BR7" i="2"/>
  <c r="BQ7" i="6"/>
  <c r="BR9" i="6"/>
  <c r="BV9" i="4"/>
  <c r="BU7" i="4"/>
  <c r="BS9" i="3"/>
  <c r="BR7" i="3"/>
  <c r="BU9" i="8" l="1"/>
  <c r="BT7" i="8"/>
  <c r="BS7" i="3"/>
  <c r="BT9" i="3"/>
  <c r="BS9" i="6"/>
  <c r="BR7" i="6"/>
  <c r="BW9" i="4"/>
  <c r="BV7" i="4"/>
  <c r="BT9" i="2"/>
  <c r="BS7" i="2"/>
  <c r="BT7" i="5"/>
  <c r="BU9" i="5"/>
  <c r="BU7" i="8" l="1"/>
  <c r="BV9" i="8"/>
  <c r="BU9" i="2"/>
  <c r="BT7" i="2"/>
  <c r="BU7" i="5"/>
  <c r="BV9" i="5"/>
  <c r="BS7" i="6"/>
  <c r="BT9" i="6"/>
  <c r="BX9" i="4"/>
  <c r="BW7" i="4"/>
  <c r="BT7" i="3"/>
  <c r="BU9" i="3"/>
  <c r="BW9" i="8" l="1"/>
  <c r="BV7" i="8"/>
  <c r="BU9" i="6"/>
  <c r="BT7" i="6"/>
  <c r="BY9" i="4"/>
  <c r="BX7" i="4"/>
  <c r="BV9" i="3"/>
  <c r="BU7" i="3"/>
  <c r="BW9" i="5"/>
  <c r="BV7" i="5"/>
  <c r="BV9" i="2"/>
  <c r="BU7" i="2"/>
  <c r="BW7" i="8" l="1"/>
  <c r="BX9" i="8"/>
  <c r="BX9" i="5"/>
  <c r="BW7" i="5"/>
  <c r="BW9" i="2"/>
  <c r="BV7" i="2"/>
  <c r="BW9" i="3"/>
  <c r="BV7" i="3"/>
  <c r="BY7" i="4"/>
  <c r="BZ9" i="4"/>
  <c r="BU7" i="6"/>
  <c r="BV9" i="6"/>
  <c r="BX7" i="8" l="1"/>
  <c r="BY9" i="8"/>
  <c r="BX9" i="3"/>
  <c r="BW7" i="3"/>
  <c r="CA9" i="4"/>
  <c r="BZ7" i="4"/>
  <c r="BX9" i="2"/>
  <c r="BW7" i="2"/>
  <c r="BV7" i="6"/>
  <c r="BW9" i="6"/>
  <c r="BX7" i="5"/>
  <c r="BY9" i="5"/>
  <c r="BZ9" i="8" l="1"/>
  <c r="BY7" i="8"/>
  <c r="BZ9" i="5"/>
  <c r="BY7" i="5"/>
  <c r="BX9" i="6"/>
  <c r="BW7" i="6"/>
  <c r="BY9" i="2"/>
  <c r="BX7" i="2"/>
  <c r="CB9" i="4"/>
  <c r="CA7" i="4"/>
  <c r="BY9" i="3"/>
  <c r="BX7" i="3"/>
  <c r="BZ7" i="8" l="1"/>
  <c r="CA9" i="8"/>
  <c r="BZ9" i="3"/>
  <c r="BY7" i="3"/>
  <c r="CC9" i="4"/>
  <c r="CB7" i="4"/>
  <c r="BY7" i="2"/>
  <c r="BZ9" i="2"/>
  <c r="BX7" i="6"/>
  <c r="BY9" i="6"/>
  <c r="CA9" i="5"/>
  <c r="BZ7" i="5"/>
  <c r="CA7" i="8" l="1"/>
  <c r="CB9" i="8"/>
  <c r="BY7" i="6"/>
  <c r="BZ9" i="6"/>
  <c r="CB9" i="5"/>
  <c r="CA7" i="5"/>
  <c r="CC7" i="4"/>
  <c r="CD9" i="4"/>
  <c r="BZ7" i="2"/>
  <c r="CA9" i="2"/>
  <c r="CA9" i="3"/>
  <c r="BZ7" i="3"/>
  <c r="CB7" i="8" l="1"/>
  <c r="CC9" i="8"/>
  <c r="CD7" i="4"/>
  <c r="CE9" i="4"/>
  <c r="CA7" i="3"/>
  <c r="CB9" i="3"/>
  <c r="CC9" i="5"/>
  <c r="CB7" i="5"/>
  <c r="BZ7" i="6"/>
  <c r="CA9" i="6"/>
  <c r="CA7" i="2"/>
  <c r="CB9" i="2"/>
  <c r="CC7" i="8" l="1"/>
  <c r="CD9" i="8"/>
  <c r="CD9" i="5"/>
  <c r="CC7" i="5"/>
  <c r="CC9" i="3"/>
  <c r="CB7" i="3"/>
  <c r="CA7" i="6"/>
  <c r="CB9" i="6"/>
  <c r="CC9" i="2"/>
  <c r="CB7" i="2"/>
  <c r="CF9" i="4"/>
  <c r="CE7" i="4"/>
  <c r="CE9" i="8" l="1"/>
  <c r="CD7" i="8"/>
  <c r="CD9" i="2"/>
  <c r="CC7" i="2"/>
  <c r="CC9" i="6"/>
  <c r="CB7" i="6"/>
  <c r="CF7" i="4"/>
  <c r="CG9" i="4"/>
  <c r="CC7" i="3"/>
  <c r="CD9" i="3"/>
  <c r="CD7" i="5"/>
  <c r="CE9" i="5"/>
  <c r="CE7" i="8" l="1"/>
  <c r="CF9" i="8"/>
  <c r="CE9" i="3"/>
  <c r="CD7" i="3"/>
  <c r="CF9" i="5"/>
  <c r="CE7" i="5"/>
  <c r="CG7" i="4"/>
  <c r="CH9" i="4"/>
  <c r="CD9" i="6"/>
  <c r="CC7" i="6"/>
  <c r="CE9" i="2"/>
  <c r="CD7" i="2"/>
  <c r="CF7" i="8" l="1"/>
  <c r="CG9" i="8"/>
  <c r="CF9" i="2"/>
  <c r="CE7" i="2"/>
  <c r="CI9" i="4"/>
  <c r="CH7" i="4"/>
  <c r="CE9" i="6"/>
  <c r="CD7" i="6"/>
  <c r="CF7" i="5"/>
  <c r="CG9" i="5"/>
  <c r="CF9" i="3"/>
  <c r="CE7" i="3"/>
  <c r="CH9" i="8" l="1"/>
  <c r="CG7" i="8"/>
  <c r="CG7" i="5"/>
  <c r="CH9" i="5"/>
  <c r="CE7" i="6"/>
  <c r="CF9" i="6"/>
  <c r="CF7" i="3"/>
  <c r="CG9" i="3"/>
  <c r="CJ9" i="4"/>
  <c r="CI7" i="4"/>
  <c r="CG9" i="2"/>
  <c r="CF7" i="2"/>
  <c r="CH7" i="8" l="1"/>
  <c r="CI9" i="8"/>
  <c r="CG7" i="3"/>
  <c r="CH9" i="3"/>
  <c r="CG9" i="6"/>
  <c r="CF7" i="6"/>
  <c r="CH9" i="2"/>
  <c r="CG7" i="2"/>
  <c r="CJ7" i="4"/>
  <c r="CK9" i="4"/>
  <c r="CH7" i="5"/>
  <c r="CI9" i="5"/>
  <c r="CI7" i="8" l="1"/>
  <c r="CJ9" i="8"/>
  <c r="CL9" i="4"/>
  <c r="CK7" i="4"/>
  <c r="CI7" i="5"/>
  <c r="CJ9" i="5"/>
  <c r="CI9" i="2"/>
  <c r="CH7" i="2"/>
  <c r="CG7" i="6"/>
  <c r="CH9" i="6"/>
  <c r="CH7" i="3"/>
  <c r="CI9" i="3"/>
  <c r="CK9" i="8" l="1"/>
  <c r="CJ7" i="8"/>
  <c r="CK9" i="5"/>
  <c r="CJ7" i="5"/>
  <c r="CJ9" i="2"/>
  <c r="CI7" i="2"/>
  <c r="CI7" i="3"/>
  <c r="CJ9" i="3"/>
  <c r="CI9" i="6"/>
  <c r="CH7" i="6"/>
  <c r="CM9" i="4"/>
  <c r="CL7" i="4"/>
  <c r="CK7" i="8" l="1"/>
  <c r="CL9" i="8"/>
  <c r="CN9" i="4"/>
  <c r="CM7" i="4"/>
  <c r="CK9" i="3"/>
  <c r="CJ7" i="3"/>
  <c r="CK9" i="2"/>
  <c r="CJ7" i="2"/>
  <c r="CJ9" i="6"/>
  <c r="CI7" i="6"/>
  <c r="CK7" i="5"/>
  <c r="CL9" i="5"/>
  <c r="CM9" i="8" l="1"/>
  <c r="CL7" i="8"/>
  <c r="CL7" i="5"/>
  <c r="CM9" i="5"/>
  <c r="CL9" i="2"/>
  <c r="CK7" i="2"/>
  <c r="CK9" i="6"/>
  <c r="CJ7" i="6"/>
  <c r="CL9" i="3"/>
  <c r="CK7" i="3"/>
  <c r="CO9" i="4"/>
  <c r="CN7" i="4"/>
  <c r="CN9" i="8" l="1"/>
  <c r="CM7" i="8"/>
  <c r="CL7" i="3"/>
  <c r="CM9" i="3"/>
  <c r="CL9" i="6"/>
  <c r="CK7" i="6"/>
  <c r="CP9" i="4"/>
  <c r="CO7" i="4"/>
  <c r="CM9" i="2"/>
  <c r="CL7" i="2"/>
  <c r="CN9" i="5"/>
  <c r="CM7" i="5"/>
  <c r="CN7" i="8" l="1"/>
  <c r="CO9" i="8"/>
  <c r="CL7" i="6"/>
  <c r="CM9" i="6"/>
  <c r="CN9" i="3"/>
  <c r="CM7" i="3"/>
  <c r="CM7" i="2"/>
  <c r="CN9" i="2"/>
  <c r="CO9" i="5"/>
  <c r="CN7" i="5"/>
  <c r="CQ9" i="4"/>
  <c r="CP7" i="4"/>
  <c r="CP9" i="8" l="1"/>
  <c r="CO7" i="8"/>
  <c r="CR9" i="4"/>
  <c r="CQ7" i="4"/>
  <c r="CN7" i="2"/>
  <c r="CO9" i="2"/>
  <c r="CP9" i="5"/>
  <c r="CO7" i="5"/>
  <c r="CN7" i="3"/>
  <c r="CO9" i="3"/>
  <c r="CM7" i="6"/>
  <c r="CN9" i="6"/>
  <c r="CP7" i="8" l="1"/>
  <c r="CQ9" i="8"/>
  <c r="CQ9" i="5"/>
  <c r="CP7" i="5"/>
  <c r="CO7" i="3"/>
  <c r="CP9" i="3"/>
  <c r="CN7" i="6"/>
  <c r="CO9" i="6"/>
  <c r="CO7" i="2"/>
  <c r="CP9" i="2"/>
  <c r="CR7" i="4"/>
  <c r="CS9" i="4"/>
  <c r="CQ7" i="8" l="1"/>
  <c r="CR9" i="8"/>
  <c r="CS7" i="4"/>
  <c r="CT9" i="4"/>
  <c r="CP7" i="2"/>
  <c r="CQ9" i="2"/>
  <c r="CQ9" i="3"/>
  <c r="CP7" i="3"/>
  <c r="CO7" i="6"/>
  <c r="CP9" i="6"/>
  <c r="CR9" i="5"/>
  <c r="CQ7" i="5"/>
  <c r="CR7" i="8" l="1"/>
  <c r="CS9" i="8"/>
  <c r="CR7" i="5"/>
  <c r="CS9" i="5"/>
  <c r="CQ7" i="2"/>
  <c r="CR9" i="2"/>
  <c r="CT7" i="4"/>
  <c r="CU9" i="4"/>
  <c r="CQ9" i="6"/>
  <c r="CP7" i="6"/>
  <c r="CQ7" i="3"/>
  <c r="CR9" i="3"/>
  <c r="CS7" i="8" l="1"/>
  <c r="CT9" i="8"/>
  <c r="CS9" i="3"/>
  <c r="CR7" i="3"/>
  <c r="CU7" i="4"/>
  <c r="CV9" i="4"/>
  <c r="CR7" i="2"/>
  <c r="CS9" i="2"/>
  <c r="CQ7" i="6"/>
  <c r="CR9" i="6"/>
  <c r="CT9" i="5"/>
  <c r="CS7" i="5"/>
  <c r="CT7" i="8" l="1"/>
  <c r="CU9" i="8"/>
  <c r="CT7" i="5"/>
  <c r="CU9" i="5"/>
  <c r="CS7" i="2"/>
  <c r="CT9" i="2"/>
  <c r="CS9" i="6"/>
  <c r="CR7" i="6"/>
  <c r="CV7" i="4"/>
  <c r="CW9" i="4"/>
  <c r="CT9" i="3"/>
  <c r="CS7" i="3"/>
  <c r="CU7" i="8" l="1"/>
  <c r="CV9" i="8"/>
  <c r="CT7" i="3"/>
  <c r="CU9" i="3"/>
  <c r="CV9" i="5"/>
  <c r="CU7" i="5"/>
  <c r="CW7" i="4"/>
  <c r="CX9" i="4"/>
  <c r="CS7" i="6"/>
  <c r="CT9" i="6"/>
  <c r="CU9" i="2"/>
  <c r="CT7" i="2"/>
  <c r="CW9" i="8" l="1"/>
  <c r="CV7" i="8"/>
  <c r="CV9" i="2"/>
  <c r="CU7" i="2"/>
  <c r="CT7" i="6"/>
  <c r="CU9" i="6"/>
  <c r="CX7" i="4"/>
  <c r="CY9" i="4"/>
  <c r="CW9" i="5"/>
  <c r="CV7" i="5"/>
  <c r="CU7" i="3"/>
  <c r="CV9" i="3"/>
  <c r="CW7" i="8" l="1"/>
  <c r="CX9" i="8"/>
  <c r="CX9" i="5"/>
  <c r="CW7" i="5"/>
  <c r="CU7" i="6"/>
  <c r="CV9" i="6"/>
  <c r="CV7" i="3"/>
  <c r="CW9" i="3"/>
  <c r="CZ9" i="4"/>
  <c r="CY7" i="4"/>
  <c r="CW9" i="2"/>
  <c r="CV7" i="2"/>
  <c r="CX7" i="8" l="1"/>
  <c r="CY9" i="8"/>
  <c r="CZ7" i="4"/>
  <c r="DA9" i="4"/>
  <c r="CW7" i="3"/>
  <c r="CX9" i="3"/>
  <c r="CX9" i="2"/>
  <c r="CW7" i="2"/>
  <c r="CW9" i="6"/>
  <c r="CV7" i="6"/>
  <c r="CY9" i="5"/>
  <c r="CX7" i="5"/>
  <c r="CY7" i="8" l="1"/>
  <c r="CZ9" i="8"/>
  <c r="CY7" i="5"/>
  <c r="CZ9" i="5"/>
  <c r="CX7" i="3"/>
  <c r="CY9" i="3"/>
  <c r="CY9" i="2"/>
  <c r="CX7" i="2"/>
  <c r="DB9" i="4"/>
  <c r="DA7" i="4"/>
  <c r="CX9" i="6"/>
  <c r="CW7" i="6"/>
  <c r="CZ7" i="8" l="1"/>
  <c r="DA9" i="8"/>
  <c r="CZ9" i="2"/>
  <c r="CY7" i="2"/>
  <c r="CY9" i="6"/>
  <c r="CX7" i="6"/>
  <c r="CY7" i="3"/>
  <c r="CZ9" i="3"/>
  <c r="DC9" i="4"/>
  <c r="DB7" i="4"/>
  <c r="CZ7" i="5"/>
  <c r="DA9" i="5"/>
  <c r="DA7" i="8" l="1"/>
  <c r="DB9" i="8"/>
  <c r="DA7" i="5"/>
  <c r="DB9" i="5"/>
  <c r="DA9" i="3"/>
  <c r="CZ7" i="3"/>
  <c r="DD9" i="4"/>
  <c r="DC7" i="4"/>
  <c r="CZ9" i="6"/>
  <c r="CY7" i="6"/>
  <c r="DA9" i="2"/>
  <c r="CZ7" i="2"/>
  <c r="DB7" i="8" l="1"/>
  <c r="DC9" i="8"/>
  <c r="DB9" i="2"/>
  <c r="DA7" i="2"/>
  <c r="DE9" i="4"/>
  <c r="DD7" i="4"/>
  <c r="DB9" i="3"/>
  <c r="DA7" i="3"/>
  <c r="DA9" i="6"/>
  <c r="CZ7" i="6"/>
  <c r="DB7" i="5"/>
  <c r="DC9" i="5"/>
  <c r="DD9" i="8" l="1"/>
  <c r="DC7" i="8"/>
  <c r="DD9" i="5"/>
  <c r="DC7" i="5"/>
  <c r="DB9" i="6"/>
  <c r="DA7" i="6"/>
  <c r="DC9" i="3"/>
  <c r="DB7" i="3"/>
  <c r="DF9" i="4"/>
  <c r="DE7" i="4"/>
  <c r="DB7" i="2"/>
  <c r="DC9" i="2"/>
  <c r="DD7" i="8" l="1"/>
  <c r="DE9" i="8"/>
  <c r="DF7" i="4"/>
  <c r="DG9" i="4"/>
  <c r="DC7" i="2"/>
  <c r="DD9" i="2"/>
  <c r="DD9" i="3"/>
  <c r="DC7" i="3"/>
  <c r="DB7" i="6"/>
  <c r="DC9" i="6"/>
  <c r="DE9" i="5"/>
  <c r="DD7" i="5"/>
  <c r="DF9" i="8" l="1"/>
  <c r="DE7" i="8"/>
  <c r="DF9" i="5"/>
  <c r="DE7" i="5"/>
  <c r="DC7" i="6"/>
  <c r="DD9" i="6"/>
  <c r="DE9" i="3"/>
  <c r="DD7" i="3"/>
  <c r="DE9" i="2"/>
  <c r="DD7" i="2"/>
  <c r="DH9" i="4"/>
  <c r="DG7" i="4"/>
  <c r="DG9" i="8" l="1"/>
  <c r="DF7" i="8"/>
  <c r="DH7" i="4"/>
  <c r="DI9" i="4"/>
  <c r="DF9" i="2"/>
  <c r="DE7" i="2"/>
  <c r="DF9" i="3"/>
  <c r="DE7" i="3"/>
  <c r="DE9" i="6"/>
  <c r="DD7" i="6"/>
  <c r="DF7" i="5"/>
  <c r="DG9" i="5"/>
  <c r="DG7" i="8" l="1"/>
  <c r="DH9" i="8"/>
  <c r="DE7" i="6"/>
  <c r="DF9" i="6"/>
  <c r="DG7" i="5"/>
  <c r="DH9" i="5"/>
  <c r="DG9" i="2"/>
  <c r="DF7" i="2"/>
  <c r="DG9" i="3"/>
  <c r="DF7" i="3"/>
  <c r="DI7" i="4"/>
  <c r="DJ9" i="4"/>
  <c r="DH7" i="8" l="1"/>
  <c r="DI9" i="8"/>
  <c r="DK9" i="4"/>
  <c r="DJ7" i="4"/>
  <c r="DH9" i="3"/>
  <c r="DG7" i="3"/>
  <c r="DH9" i="2"/>
  <c r="DG7" i="2"/>
  <c r="DG9" i="6"/>
  <c r="DF7" i="6"/>
  <c r="DH7" i="5"/>
  <c r="DI9" i="5"/>
  <c r="DI7" i="8" l="1"/>
  <c r="DJ9" i="8"/>
  <c r="DJ9" i="5"/>
  <c r="DI7" i="5"/>
  <c r="DG7" i="6"/>
  <c r="DH9" i="6"/>
  <c r="DH7" i="2"/>
  <c r="DI9" i="2"/>
  <c r="DH7" i="3"/>
  <c r="DI9" i="3"/>
  <c r="DL9" i="4"/>
  <c r="DK7" i="4"/>
  <c r="DJ7" i="8" l="1"/>
  <c r="DK9" i="8"/>
  <c r="DI7" i="3"/>
  <c r="DJ9" i="3"/>
  <c r="DJ9" i="2"/>
  <c r="DI7" i="2"/>
  <c r="DH7" i="6"/>
  <c r="DI9" i="6"/>
  <c r="DM9" i="4"/>
  <c r="DL7" i="4"/>
  <c r="DK9" i="5"/>
  <c r="DJ7" i="5"/>
  <c r="DK7" i="8" l="1"/>
  <c r="DL9" i="8"/>
  <c r="DL9" i="5"/>
  <c r="DK7" i="5"/>
  <c r="DI7" i="6"/>
  <c r="DJ9" i="6"/>
  <c r="DN9" i="4"/>
  <c r="DM7" i="4"/>
  <c r="DK9" i="2"/>
  <c r="DJ7" i="2"/>
  <c r="DJ7" i="3"/>
  <c r="DK9" i="3"/>
  <c r="DL7" i="8" l="1"/>
  <c r="DM9" i="8"/>
  <c r="DK7" i="3"/>
  <c r="DL9" i="3"/>
  <c r="DL9" i="2"/>
  <c r="DK7" i="2"/>
  <c r="DO9" i="4"/>
  <c r="DN7" i="4"/>
  <c r="DJ7" i="6"/>
  <c r="DK9" i="6"/>
  <c r="DM9" i="5"/>
  <c r="DL7" i="5"/>
  <c r="DM7" i="8" l="1"/>
  <c r="DN9" i="8"/>
  <c r="DN9" i="5"/>
  <c r="DM7" i="5"/>
  <c r="DL7" i="3"/>
  <c r="DM9" i="3"/>
  <c r="DK7" i="6"/>
  <c r="DL9" i="6"/>
  <c r="DP9" i="4"/>
  <c r="DO7" i="4"/>
  <c r="DM9" i="2"/>
  <c r="DL7" i="2"/>
  <c r="DN7" i="8" l="1"/>
  <c r="DO9" i="8"/>
  <c r="DQ9" i="4"/>
  <c r="DP7" i="4"/>
  <c r="DM7" i="3"/>
  <c r="DN9" i="3"/>
  <c r="DN9" i="2"/>
  <c r="DM7" i="2"/>
  <c r="DL7" i="6"/>
  <c r="DM9" i="6"/>
  <c r="DO9" i="5"/>
  <c r="DN7" i="5"/>
  <c r="DO7" i="8" l="1"/>
  <c r="DP9" i="8"/>
  <c r="DO7" i="5"/>
  <c r="DP9" i="5"/>
  <c r="DN9" i="6"/>
  <c r="DM7" i="6"/>
  <c r="DO9" i="2"/>
  <c r="DN7" i="2"/>
  <c r="DN7" i="3"/>
  <c r="DO9" i="3"/>
  <c r="DQ7" i="4"/>
  <c r="DR9" i="4"/>
  <c r="DP7" i="8" l="1"/>
  <c r="DQ9" i="8"/>
  <c r="DP9" i="3"/>
  <c r="DO7" i="3"/>
  <c r="DS9" i="4"/>
  <c r="DR7" i="4"/>
  <c r="DO9" i="6"/>
  <c r="DN7" i="6"/>
  <c r="DP9" i="2"/>
  <c r="DO7" i="2"/>
  <c r="DP7" i="5"/>
  <c r="DQ9" i="5"/>
  <c r="DR9" i="8" l="1"/>
  <c r="DQ7" i="8"/>
  <c r="DR9" i="5"/>
  <c r="DQ7" i="5"/>
  <c r="DQ9" i="2"/>
  <c r="DP7" i="2"/>
  <c r="DT9" i="4"/>
  <c r="DS7" i="4"/>
  <c r="DQ9" i="3"/>
  <c r="DP7" i="3"/>
  <c r="DP9" i="6"/>
  <c r="DO7" i="6"/>
  <c r="DS9" i="8" l="1"/>
  <c r="DR7" i="8"/>
  <c r="DR9" i="3"/>
  <c r="DQ7" i="3"/>
  <c r="DR9" i="2"/>
  <c r="DQ7" i="2"/>
  <c r="DR7" i="5"/>
  <c r="DS9" i="5"/>
  <c r="DP7" i="6"/>
  <c r="DQ9" i="6"/>
  <c r="DU9" i="4"/>
  <c r="DT7" i="4"/>
  <c r="DS7" i="8" l="1"/>
  <c r="DT9" i="8"/>
  <c r="DV9" i="4"/>
  <c r="DU7" i="4"/>
  <c r="DR9" i="6"/>
  <c r="DQ7" i="6"/>
  <c r="DT9" i="5"/>
  <c r="DS7" i="5"/>
  <c r="DR7" i="2"/>
  <c r="DS9" i="2"/>
  <c r="DS9" i="3"/>
  <c r="DR7" i="3"/>
  <c r="DT7" i="8" l="1"/>
  <c r="DU9" i="8"/>
  <c r="DT9" i="3"/>
  <c r="DS7" i="3"/>
  <c r="DS7" i="2"/>
  <c r="DT9" i="2"/>
  <c r="DT7" i="5"/>
  <c r="DU9" i="5"/>
  <c r="DS9" i="6"/>
  <c r="DR7" i="6"/>
  <c r="DV7" i="4"/>
  <c r="DW9" i="4"/>
  <c r="DU7" i="8" l="1"/>
  <c r="DV9" i="8"/>
  <c r="DW7" i="4"/>
  <c r="DX9" i="4"/>
  <c r="DV9" i="5"/>
  <c r="DU7" i="5"/>
  <c r="DT9" i="6"/>
  <c r="DS7" i="6"/>
  <c r="DU9" i="2"/>
  <c r="DT7" i="2"/>
  <c r="DU9" i="3"/>
  <c r="DT7" i="3"/>
  <c r="DV7" i="8" l="1"/>
  <c r="DW9" i="8"/>
  <c r="DU7" i="2"/>
  <c r="DV9" i="2"/>
  <c r="DV9" i="3"/>
  <c r="DU7" i="3"/>
  <c r="DU9" i="6"/>
  <c r="DT7" i="6"/>
  <c r="DV7" i="5"/>
  <c r="DW9" i="5"/>
  <c r="DX7" i="4"/>
  <c r="DY9" i="4"/>
  <c r="DW7" i="8" l="1"/>
  <c r="DX9" i="8"/>
  <c r="DX9" i="5"/>
  <c r="DW7" i="5"/>
  <c r="DU7" i="6"/>
  <c r="DV9" i="6"/>
  <c r="DY7" i="4"/>
  <c r="DZ9" i="4"/>
  <c r="DW9" i="3"/>
  <c r="DV7" i="3"/>
  <c r="DV7" i="2"/>
  <c r="DW9" i="2"/>
  <c r="DX7" i="8" l="1"/>
  <c r="DY9" i="8"/>
  <c r="DW7" i="2"/>
  <c r="DX9" i="2"/>
  <c r="DV7" i="6"/>
  <c r="DW9" i="6"/>
  <c r="DW7" i="3"/>
  <c r="DX9" i="3"/>
  <c r="DZ7" i="4"/>
  <c r="EA9" i="4"/>
  <c r="DY9" i="5"/>
  <c r="DX7" i="5"/>
  <c r="DZ9" i="8" l="1"/>
  <c r="DY7" i="8"/>
  <c r="DZ9" i="5"/>
  <c r="DY7" i="5"/>
  <c r="DW7" i="6"/>
  <c r="DX9" i="6"/>
  <c r="DY9" i="2"/>
  <c r="DX7" i="2"/>
  <c r="EB9" i="4"/>
  <c r="EA7" i="4"/>
  <c r="DX7" i="3"/>
  <c r="DY9" i="3"/>
  <c r="EA9" i="8" l="1"/>
  <c r="DZ7" i="8"/>
  <c r="DZ9" i="3"/>
  <c r="DY7" i="3"/>
  <c r="EC9" i="4"/>
  <c r="EB7" i="4"/>
  <c r="DX7" i="6"/>
  <c r="DY9" i="6"/>
  <c r="DZ9" i="2"/>
  <c r="DY7" i="2"/>
  <c r="EA9" i="5"/>
  <c r="DZ7" i="5"/>
  <c r="EB9" i="8" l="1"/>
  <c r="EA7" i="8"/>
  <c r="EA9" i="2"/>
  <c r="DZ7" i="2"/>
  <c r="EB9" i="5"/>
  <c r="EA7" i="5"/>
  <c r="DY7" i="6"/>
  <c r="DZ9" i="6"/>
  <c r="ED9" i="4"/>
  <c r="EC7" i="4"/>
  <c r="DZ7" i="3"/>
  <c r="EA9" i="3"/>
  <c r="EC9" i="8" l="1"/>
  <c r="EB7" i="8"/>
  <c r="DZ7" i="6"/>
  <c r="EA9" i="6"/>
  <c r="EA7" i="3"/>
  <c r="EB9" i="3"/>
  <c r="EE9" i="4"/>
  <c r="ED7" i="4"/>
  <c r="EC9" i="5"/>
  <c r="EB7" i="5"/>
  <c r="EB9" i="2"/>
  <c r="EA7" i="2"/>
  <c r="ED9" i="8" l="1"/>
  <c r="EC7" i="8"/>
  <c r="EC9" i="2"/>
  <c r="EB7" i="2"/>
  <c r="ED9" i="5"/>
  <c r="EC7" i="5"/>
  <c r="EE7" i="4"/>
  <c r="EF9" i="4"/>
  <c r="EB7" i="3"/>
  <c r="EC9" i="3"/>
  <c r="EB9" i="6"/>
  <c r="EA7" i="6"/>
  <c r="EE9" i="8" l="1"/>
  <c r="ED7" i="8"/>
  <c r="ED9" i="3"/>
  <c r="EC7" i="3"/>
  <c r="EE9" i="5"/>
  <c r="ED7" i="5"/>
  <c r="EG9" i="4"/>
  <c r="EF7" i="4"/>
  <c r="EB7" i="6"/>
  <c r="EC9" i="6"/>
  <c r="ED9" i="2"/>
  <c r="EC7" i="2"/>
  <c r="EF9" i="8" l="1"/>
  <c r="EE7" i="8"/>
  <c r="EH9" i="4"/>
  <c r="EH7" i="4" s="1"/>
  <c r="EG7" i="4"/>
  <c r="EC7" i="6"/>
  <c r="ED9" i="6"/>
  <c r="EF9" i="5"/>
  <c r="EE7" i="5"/>
  <c r="ED7" i="2"/>
  <c r="EE9" i="2"/>
  <c r="ED7" i="3"/>
  <c r="EE9" i="3"/>
  <c r="EF7" i="8" l="1"/>
  <c r="EG9" i="8"/>
  <c r="ED7" i="6"/>
  <c r="EE9" i="6"/>
  <c r="EE7" i="3"/>
  <c r="EF9" i="3"/>
  <c r="EE7" i="2"/>
  <c r="EF9" i="2"/>
  <c r="EG9" i="5"/>
  <c r="EF7" i="5"/>
  <c r="EH9" i="8" l="1"/>
  <c r="EH7" i="8" s="1"/>
  <c r="EG7" i="8"/>
  <c r="EH9" i="5"/>
  <c r="EH7" i="5" s="1"/>
  <c r="EG7" i="5"/>
  <c r="EF9" i="6"/>
  <c r="EE7" i="6"/>
  <c r="EG9" i="2"/>
  <c r="EF7" i="2"/>
  <c r="EG9" i="3"/>
  <c r="EF7" i="3"/>
  <c r="EG7" i="3" l="1"/>
  <c r="EH9" i="3"/>
  <c r="EH7" i="3" s="1"/>
  <c r="EH9" i="2"/>
  <c r="EH7" i="2" s="1"/>
  <c r="EG7" i="2"/>
  <c r="EG9" i="6"/>
  <c r="EF7" i="6"/>
  <c r="EH9" i="6" l="1"/>
  <c r="EH7" i="6" s="1"/>
  <c r="EG7" i="6"/>
  <c r="G11" i="3"/>
  <c r="M11" i="3" s="1"/>
  <c r="O11" i="3"/>
  <c r="J11" i="3" l="1"/>
  <c r="L11" i="3" l="1"/>
  <c r="P11" i="3" l="1"/>
  <c r="G12" i="3"/>
  <c r="J12" i="3" s="1"/>
  <c r="O12" i="3"/>
  <c r="L12" i="3" l="1"/>
  <c r="M12" i="3"/>
  <c r="P12" i="3" l="1"/>
  <c r="O13" i="3"/>
  <c r="G13" i="3"/>
  <c r="M13" i="3" l="1"/>
  <c r="J13" i="3"/>
  <c r="L13" i="3" l="1"/>
  <c r="P13" i="3" l="1"/>
  <c r="O14" i="3"/>
  <c r="J14" i="3"/>
  <c r="L14" i="3" l="1"/>
  <c r="M14" i="3"/>
  <c r="P14" i="3" l="1"/>
  <c r="O15" i="3"/>
  <c r="M15" i="3"/>
  <c r="L15" i="3" l="1"/>
  <c r="P15" i="3" l="1"/>
  <c r="I10" i="3"/>
  <c r="O16" i="3"/>
  <c r="G16" i="3"/>
  <c r="J16" i="3" l="1"/>
  <c r="G28" i="3"/>
  <c r="F31" i="3" s="1"/>
  <c r="J10" i="3"/>
  <c r="L16" i="3"/>
  <c r="G10" i="3"/>
  <c r="M16" i="3"/>
  <c r="G4" i="1"/>
  <c r="H4" i="1" s="1"/>
  <c r="G24" i="3" l="1"/>
  <c r="E6" i="1" s="1"/>
  <c r="G31" i="3"/>
  <c r="N10" i="3"/>
  <c r="K10" i="3"/>
  <c r="M10" i="3"/>
  <c r="H10" i="3"/>
  <c r="E4" i="1"/>
  <c r="P16" i="3"/>
  <c r="J31" i="3" l="1"/>
  <c r="O10" i="3"/>
  <c r="Q10" i="3" s="1"/>
  <c r="P10" i="3"/>
  <c r="R10" i="3" s="1"/>
  <c r="G18" i="3"/>
  <c r="O18" i="3"/>
  <c r="M18" i="3" l="1"/>
  <c r="J18" i="3"/>
  <c r="G32" i="3"/>
  <c r="J32" i="3" l="1"/>
  <c r="L18" i="3"/>
  <c r="K18" i="3"/>
  <c r="G33" i="3" l="1"/>
  <c r="F30" i="3"/>
  <c r="J30" i="3"/>
  <c r="P18" i="3"/>
  <c r="I17" i="3"/>
  <c r="G20" i="3"/>
  <c r="O20" i="3"/>
  <c r="M20" i="3" l="1"/>
  <c r="J20" i="3"/>
  <c r="H30" i="3"/>
  <c r="O30" i="3" s="1"/>
  <c r="Q30" i="3" s="1"/>
  <c r="M30" i="3"/>
  <c r="J24" i="3"/>
  <c r="K30" i="3"/>
  <c r="P30" i="3" s="1"/>
  <c r="N30" i="3"/>
  <c r="G5" i="1"/>
  <c r="H5" i="1" s="1"/>
  <c r="G17" i="3"/>
  <c r="I24" i="3" l="1"/>
  <c r="G6" i="1" s="1"/>
  <c r="H6" i="1" s="1"/>
  <c r="K20" i="3"/>
  <c r="L20" i="3"/>
  <c r="J17" i="3"/>
  <c r="E5" i="1"/>
  <c r="M17" i="3"/>
  <c r="H17" i="3"/>
  <c r="M25" i="3"/>
  <c r="F24" i="3"/>
  <c r="K25" i="3"/>
  <c r="N24" i="3" l="1"/>
  <c r="D6" i="1"/>
  <c r="M24" i="3"/>
  <c r="K24" i="3"/>
  <c r="H24" i="3"/>
  <c r="O17" i="3"/>
  <c r="Q17" i="3" s="1"/>
  <c r="N17" i="3"/>
  <c r="K17" i="3"/>
  <c r="P20" i="3"/>
  <c r="P17" i="3" l="1"/>
  <c r="R17" i="3" s="1"/>
  <c r="P24" i="3"/>
  <c r="R24" i="3" s="1"/>
  <c r="O24" i="3"/>
  <c r="Q24" i="3" s="1"/>
  <c r="G23" i="3"/>
  <c r="J23" i="3" s="1"/>
  <c r="O23" i="3"/>
  <c r="K23" i="3" l="1"/>
  <c r="L23" i="3"/>
  <c r="M23" i="3"/>
  <c r="P2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</author>
    <author>user</author>
  </authors>
  <commentList>
    <comment ref="J9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계획대비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지연시에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기입</t>
        </r>
      </text>
    </comment>
    <comment ref="M9" authorId="0" shapeId="0" xr:uid="{00000000-0006-0000-0100-000002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N9" authorId="0" shapeId="0" xr:uid="{00000000-0006-0000-0100-000003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Q9" authorId="0" shapeId="0" xr:uid="{00000000-0006-0000-0100-000004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완료일수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제외하고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남아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임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>)</t>
        </r>
      </text>
    </comment>
    <comment ref="C20" authorId="1" shapeId="0" xr:uid="{00000000-0006-0000-0100-000005000000}">
      <text>
        <r>
          <rPr>
            <b/>
            <sz val="9"/>
            <color rgb="FF000000"/>
            <rFont val="맑은 고딕"/>
            <family val="3"/>
            <charset val="129"/>
          </rPr>
          <t>지연사유:
01.19팩높이 225mm로 변경확정
01.20한 2D, 3D, BOM변경 필요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LG</author>
    <author>이우원</author>
  </authors>
  <commentList>
    <comment ref="J9" authorId="0" shapeId="0" xr:uid="{00000000-0006-0000-0200-000001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계획대비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지연시에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기입</t>
        </r>
      </text>
    </comment>
    <comment ref="M9" authorId="0" shapeId="0" xr:uid="{00000000-0006-0000-0200-000002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N9" authorId="0" shapeId="0" xr:uid="{00000000-0006-0000-0200-000003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Q9" authorId="0" shapeId="0" xr:uid="{00000000-0006-0000-0200-000004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완료일수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제외하고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남아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임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>)</t>
        </r>
      </text>
    </comment>
    <comment ref="C26" authorId="1" shapeId="0" xr:uid="{CDA58646-B7E0-420E-BF36-0973B97D2C3A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P40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
P50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 </t>
        </r>
      </text>
    </comment>
    <comment ref="C27" authorId="1" shapeId="0" xr:uid="{E71088B9-8386-49EA-AAF8-D4DC54F9AAFA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P40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
P50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 </t>
        </r>
      </text>
    </comment>
    <comment ref="C28" authorId="1" shapeId="0" xr:uid="{737DD12E-B799-4D8F-9880-93A8AC673DAB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P40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
P50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 </t>
        </r>
      </text>
    </comment>
    <comment ref="C29" authorId="1" shapeId="0" xr:uid="{8B5AEE70-624B-4261-A72A-615CA055161F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P40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
P50 : </t>
        </r>
        <r>
          <rPr>
            <sz val="10"/>
            <color indexed="81"/>
            <rFont val="돋움"/>
            <family val="3"/>
            <charset val="129"/>
          </rPr>
          <t>배터리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팩</t>
        </r>
        <r>
          <rPr>
            <sz val="10"/>
            <color indexed="81"/>
            <rFont val="Tahoma"/>
            <family val="2"/>
          </rPr>
          <t xml:space="preserve"> 2EA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400-000001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계획대비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지연시에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기입</t>
        </r>
      </text>
    </comment>
    <comment ref="M9" authorId="0" shapeId="0" xr:uid="{00000000-0006-0000-0400-000002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N9" authorId="0" shapeId="0" xr:uid="{00000000-0006-0000-0400-000003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Q9" authorId="0" shapeId="0" xr:uid="{00000000-0006-0000-0400-000004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완료일수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제외하고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남아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임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300-000001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계획대비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지연시에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기입</t>
        </r>
      </text>
    </comment>
    <comment ref="M9" authorId="0" shapeId="0" xr:uid="{00000000-0006-0000-0300-000002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N9" authorId="0" shapeId="0" xr:uid="{00000000-0006-0000-0300-000003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Q9" authorId="0" shapeId="0" xr:uid="{00000000-0006-0000-0300-000004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완료일수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제외하고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남아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임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EEB392DA-50F3-4485-9A5E-543B2451A67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계획대비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지연시에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기입</t>
        </r>
      </text>
    </comment>
    <comment ref="M9" authorId="0" shapeId="0" xr:uid="{538EA996-D8FE-4BE5-8119-89AE3576F64C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N9" authorId="0" shapeId="0" xr:uid="{8149D18F-64C2-49AD-8E08-84723EE1AD5D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Q9" authorId="0" shapeId="0" xr:uid="{D1B65595-95C8-48C9-981C-CB3D81FCE1EE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완료일수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제외하고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남아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임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9" authorId="0" shapeId="0" xr:uid="{00000000-0006-0000-0500-000001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계획대비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지연시에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예상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종료일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기입</t>
        </r>
      </text>
    </comment>
    <comment ref="M9" authorId="0" shapeId="0" xr:uid="{00000000-0006-0000-0500-000002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N9" authorId="0" shapeId="0" xr:uid="{00000000-0006-0000-0500-000003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임</t>
        </r>
        <r>
          <rPr>
            <sz val="9"/>
            <color rgb="FF000000"/>
            <rFont val="Tahoma"/>
            <family val="2"/>
          </rPr>
          <t>.</t>
        </r>
      </text>
    </comment>
    <comment ref="Q9" authorId="0" shapeId="0" xr:uid="{00000000-0006-0000-0500-000004000000}">
      <text>
        <r>
          <rPr>
            <b/>
            <sz val="9"/>
            <color rgb="FF000000"/>
            <rFont val="Tahoma"/>
            <family val="2"/>
          </rPr>
          <t>LG: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기간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지연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일수에서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완료일수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계획</t>
        </r>
        <r>
          <rPr>
            <sz val="9"/>
            <color rgb="FF000000"/>
            <rFont val="Tahoma"/>
            <family val="2"/>
          </rPr>
          <t>)</t>
        </r>
        <r>
          <rPr>
            <sz val="9"/>
            <color rgb="FF000000"/>
            <rFont val="돋움"/>
            <family val="3"/>
            <charset val="129"/>
          </rPr>
          <t>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제외하고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남아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있는</t>
        </r>
        <r>
          <rPr>
            <sz val="9"/>
            <color rgb="FF000000"/>
            <rFont val="Tahoma"/>
            <family val="2"/>
          </rPr>
          <t xml:space="preserve"> 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임
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3"/>
            <charset val="129"/>
          </rPr>
          <t>휴일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일수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>포함</t>
        </r>
        <r>
          <rPr>
            <sz val="9"/>
            <color rgb="FF000000"/>
            <rFont val="Tahoma"/>
            <family val="2"/>
          </rPr>
          <t>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이우원</author>
  </authors>
  <commentList>
    <comment ref="G2" authorId="0" shapeId="0" xr:uid="{72AD094F-2570-499B-B0DA-F346D35BE0BD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1.</t>
        </r>
        <r>
          <rPr>
            <sz val="10"/>
            <color indexed="81"/>
            <rFont val="돋움"/>
            <family val="3"/>
            <charset val="129"/>
          </rPr>
          <t xml:space="preserve">제품문헌
</t>
        </r>
        <r>
          <rPr>
            <sz val="10"/>
            <color indexed="81"/>
            <rFont val="Tahoma"/>
            <family val="2"/>
          </rPr>
          <t>2.</t>
        </r>
        <r>
          <rPr>
            <sz val="10"/>
            <color indexed="81"/>
            <rFont val="돋움"/>
            <family val="3"/>
            <charset val="129"/>
          </rPr>
          <t xml:space="preserve">제품설계
</t>
        </r>
        <r>
          <rPr>
            <sz val="10"/>
            <color indexed="81"/>
            <rFont val="Tahoma"/>
            <family val="2"/>
          </rPr>
          <t>3.</t>
        </r>
        <r>
          <rPr>
            <sz val="10"/>
            <color indexed="81"/>
            <rFont val="돋움"/>
            <family val="3"/>
            <charset val="129"/>
          </rPr>
          <t xml:space="preserve">제품제작
</t>
        </r>
        <r>
          <rPr>
            <sz val="10"/>
            <color indexed="81"/>
            <rFont val="Tahoma"/>
            <family val="2"/>
          </rPr>
          <t>4.</t>
        </r>
        <r>
          <rPr>
            <sz val="10"/>
            <color indexed="81"/>
            <rFont val="돋움"/>
            <family val="3"/>
            <charset val="129"/>
          </rPr>
          <t xml:space="preserve">제품평가
</t>
        </r>
        <r>
          <rPr>
            <sz val="10"/>
            <color indexed="81"/>
            <rFont val="Tahoma"/>
            <family val="2"/>
          </rPr>
          <t>5.</t>
        </r>
        <r>
          <rPr>
            <sz val="10"/>
            <color indexed="81"/>
            <rFont val="돋움"/>
            <family val="3"/>
            <charset val="129"/>
          </rPr>
          <t xml:space="preserve">현장대응
</t>
        </r>
        <r>
          <rPr>
            <sz val="10"/>
            <color indexed="81"/>
            <rFont val="Tahoma"/>
            <family val="2"/>
          </rPr>
          <t>6.</t>
        </r>
        <r>
          <rPr>
            <sz val="10"/>
            <color indexed="81"/>
            <rFont val="돋움"/>
            <family val="3"/>
            <charset val="129"/>
          </rPr>
          <t>출장보고</t>
        </r>
      </text>
    </comment>
    <comment ref="H2" authorId="0" shapeId="0" xr:uid="{258AB107-8EDC-4E1A-956F-1AC368CBD2D8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1.</t>
        </r>
        <r>
          <rPr>
            <sz val="10"/>
            <color indexed="81"/>
            <rFont val="돋움"/>
            <family val="3"/>
            <charset val="129"/>
          </rPr>
          <t xml:space="preserve">기구설계
</t>
        </r>
        <r>
          <rPr>
            <sz val="10"/>
            <color indexed="81"/>
            <rFont val="Tahoma"/>
            <family val="2"/>
          </rPr>
          <t>2.</t>
        </r>
        <r>
          <rPr>
            <sz val="10"/>
            <color indexed="81"/>
            <rFont val="돋움"/>
            <family val="3"/>
            <charset val="129"/>
          </rPr>
          <t xml:space="preserve">전장설계
</t>
        </r>
        <r>
          <rPr>
            <sz val="10"/>
            <color indexed="81"/>
            <rFont val="Tahoma"/>
            <family val="2"/>
          </rPr>
          <t>3.</t>
        </r>
        <r>
          <rPr>
            <sz val="10"/>
            <color indexed="81"/>
            <rFont val="돋움"/>
            <family val="3"/>
            <charset val="129"/>
          </rPr>
          <t xml:space="preserve">회로설계
</t>
        </r>
        <r>
          <rPr>
            <sz val="10"/>
            <color indexed="81"/>
            <rFont val="Tahoma"/>
            <family val="2"/>
          </rPr>
          <t>4.</t>
        </r>
        <r>
          <rPr>
            <sz val="10"/>
            <color indexed="81"/>
            <rFont val="돋움"/>
            <family val="3"/>
            <charset val="129"/>
          </rPr>
          <t xml:space="preserve">펌웨어
</t>
        </r>
        <r>
          <rPr>
            <sz val="10"/>
            <color indexed="81"/>
            <rFont val="Tahoma"/>
            <family val="2"/>
          </rPr>
          <t>5.</t>
        </r>
        <r>
          <rPr>
            <sz val="10"/>
            <color indexed="81"/>
            <rFont val="돋움"/>
            <family val="3"/>
            <charset val="129"/>
          </rPr>
          <t>상위</t>
        </r>
        <r>
          <rPr>
            <sz val="10"/>
            <color indexed="81"/>
            <rFont val="Tahoma"/>
            <family val="2"/>
          </rPr>
          <t>SW</t>
        </r>
      </text>
    </comment>
    <comment ref="I2" authorId="0" shapeId="0" xr:uid="{3E430938-A3A7-403F-8DCE-D84854F36E0B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1. </t>
        </r>
        <r>
          <rPr>
            <sz val="10"/>
            <color indexed="81"/>
            <rFont val="돋움"/>
            <family val="3"/>
            <charset val="129"/>
          </rPr>
          <t>설계변경</t>
        </r>
        <r>
          <rPr>
            <sz val="10"/>
            <color indexed="81"/>
            <rFont val="Tahoma"/>
            <family val="2"/>
          </rPr>
          <t xml:space="preserve"> 
2. </t>
        </r>
        <r>
          <rPr>
            <sz val="10"/>
            <color indexed="81"/>
            <rFont val="돋움"/>
            <family val="3"/>
            <charset val="129"/>
          </rPr>
          <t xml:space="preserve">설계보완
</t>
        </r>
        <r>
          <rPr>
            <sz val="10"/>
            <color indexed="81"/>
            <rFont val="Tahoma"/>
            <family val="2"/>
          </rPr>
          <t xml:space="preserve">3. </t>
        </r>
        <r>
          <rPr>
            <sz val="10"/>
            <color indexed="81"/>
            <rFont val="돋움"/>
            <family val="3"/>
            <charset val="129"/>
          </rPr>
          <t xml:space="preserve">제작보완
</t>
        </r>
        <r>
          <rPr>
            <sz val="10"/>
            <color indexed="81"/>
            <rFont val="Tahoma"/>
            <family val="2"/>
          </rPr>
          <t xml:space="preserve">4. </t>
        </r>
        <r>
          <rPr>
            <sz val="10"/>
            <color indexed="81"/>
            <rFont val="돋움"/>
            <family val="3"/>
            <charset val="129"/>
          </rPr>
          <t xml:space="preserve">제작변경
</t>
        </r>
        <r>
          <rPr>
            <sz val="10"/>
            <color indexed="81"/>
            <rFont val="Tahoma"/>
            <family val="2"/>
          </rPr>
          <t xml:space="preserve">5. SW </t>
        </r>
        <r>
          <rPr>
            <sz val="10"/>
            <color indexed="81"/>
            <rFont val="돋움"/>
            <family val="3"/>
            <charset val="129"/>
          </rPr>
          <t xml:space="preserve">보완
</t>
        </r>
        <r>
          <rPr>
            <sz val="10"/>
            <color indexed="81"/>
            <rFont val="Tahoma"/>
            <family val="2"/>
          </rPr>
          <t xml:space="preserve">6. </t>
        </r>
        <r>
          <rPr>
            <sz val="10"/>
            <color indexed="81"/>
            <rFont val="돋움"/>
            <family val="3"/>
            <charset val="129"/>
          </rPr>
          <t>제품교환</t>
        </r>
      </text>
    </comment>
    <comment ref="B3" authorId="0" shapeId="0" xr:uid="{398A5A3F-059D-4501-9495-CB3A711C16F0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프로젝트번호</t>
        </r>
      </text>
    </comment>
    <comment ref="C3" authorId="0" shapeId="0" xr:uid="{E355A306-9A79-4275-AB80-A842183EA4E5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대분류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번호</t>
        </r>
      </text>
    </comment>
    <comment ref="D3" authorId="0" shapeId="0" xr:uid="{06151E93-1FFD-4B5F-B44C-C7F7692C7715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중분류번호</t>
        </r>
      </text>
    </comment>
    <comment ref="E3" authorId="0" shapeId="0" xr:uid="{96320A18-08EC-4E7D-9399-C84FD24A49D4}">
      <text>
        <r>
          <rPr>
            <b/>
            <sz val="10"/>
            <color indexed="81"/>
            <rFont val="돋움"/>
            <family val="3"/>
            <charset val="129"/>
          </rPr>
          <t>이우원</t>
        </r>
        <r>
          <rPr>
            <b/>
            <sz val="10"/>
            <color indexed="81"/>
            <rFont val="Tahoma"/>
            <family val="2"/>
          </rPr>
          <t>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소분류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번호</t>
        </r>
      </text>
    </comment>
  </commentList>
</comments>
</file>

<file path=xl/sharedStrings.xml><?xml version="1.0" encoding="utf-8"?>
<sst xmlns="http://schemas.openxmlformats.org/spreadsheetml/2006/main" count="624" uniqueCount="222">
  <si>
    <t>NO.</t>
  </si>
  <si>
    <t>프로젝트명</t>
  </si>
  <si>
    <t>개발구분</t>
  </si>
  <si>
    <t>시작일</t>
  </si>
  <si>
    <t>종료일</t>
  </si>
  <si>
    <t>계획완료율</t>
    <phoneticPr fontId="2" type="noConversion"/>
  </si>
  <si>
    <t>진행율</t>
  </si>
  <si>
    <t>개발현황</t>
  </si>
  <si>
    <t>농약 살포기 BAP</t>
  </si>
  <si>
    <t>제품규격</t>
  </si>
  <si>
    <t>제품개발</t>
  </si>
  <si>
    <t>HMC수소용역개발 
P40, P56제품개발</t>
  </si>
  <si>
    <t>시제품제작</t>
  </si>
  <si>
    <t>항만용 AGV충전기</t>
  </si>
  <si>
    <t>RT트레인 개발</t>
  </si>
  <si>
    <t>친환경선박인증</t>
  </si>
  <si>
    <t>프로젝트 일정 - 농약 살포기 BAP</t>
  </si>
  <si>
    <t>현재일자</t>
  </si>
  <si>
    <t>프로젝트 담당자</t>
  </si>
  <si>
    <t>김미성</t>
    <phoneticPr fontId="39" type="noConversion"/>
  </si>
  <si>
    <t>일정표 간격(day)</t>
  </si>
  <si>
    <t xml:space="preserve"> 완료일수</t>
  </si>
  <si>
    <t xml:space="preserve"> 잔여일수</t>
  </si>
  <si>
    <t xml:space="preserve"> 총 진행률 %</t>
  </si>
  <si>
    <t xml:space="preserve"> 총 잔여기간</t>
  </si>
  <si>
    <t xml:space="preserve"> 초과일수</t>
  </si>
  <si>
    <t>시작요일</t>
  </si>
  <si>
    <t>월요일</t>
  </si>
  <si>
    <t>No</t>
  </si>
  <si>
    <t>담당자</t>
  </si>
  <si>
    <t>종료일(계획)</t>
  </si>
  <si>
    <t>기간(계획)</t>
  </si>
  <si>
    <t>진행률 %</t>
  </si>
  <si>
    <t>종료일(지연)</t>
  </si>
  <si>
    <t>기간(지연)</t>
  </si>
  <si>
    <t>지연일수</t>
  </si>
  <si>
    <t>작업일수(계획)</t>
  </si>
  <si>
    <t>작업일수(지연)</t>
  </si>
  <si>
    <t>완료일수(계획)</t>
  </si>
  <si>
    <t>완료일수(지연)</t>
  </si>
  <si>
    <t>잔여일수</t>
  </si>
  <si>
    <t>Act. Remaining</t>
  </si>
  <si>
    <t>이우원</t>
  </si>
  <si>
    <t>제품사양</t>
  </si>
  <si>
    <t>통신규약&amp;DB작성</t>
  </si>
  <si>
    <t>제품 구성도</t>
  </si>
  <si>
    <t>보호 설정 기준</t>
  </si>
  <si>
    <t>자체 검사 성적서</t>
  </si>
  <si>
    <t>박성호,이우원</t>
    <phoneticPr fontId="39" type="noConversion"/>
  </si>
  <si>
    <t>제작 계약</t>
  </si>
  <si>
    <t>김미성,이휘</t>
    <phoneticPr fontId="39" type="noConversion"/>
  </si>
  <si>
    <t>문병길,김성열</t>
    <phoneticPr fontId="39" type="noConversion"/>
  </si>
  <si>
    <t>전장설계 및 BOM</t>
    <phoneticPr fontId="39" type="noConversion"/>
  </si>
  <si>
    <t>김성열</t>
  </si>
  <si>
    <t>기구설계 3D 설계</t>
    <phoneticPr fontId="39" type="noConversion"/>
  </si>
  <si>
    <t>제작설계 및 BOM</t>
    <phoneticPr fontId="39" type="noConversion"/>
  </si>
  <si>
    <t>문병길</t>
  </si>
  <si>
    <t>배선제작도면</t>
    <phoneticPr fontId="39" type="noConversion"/>
  </si>
  <si>
    <t>문병길, 김성열</t>
    <phoneticPr fontId="39" type="noConversion"/>
  </si>
  <si>
    <t>제작 BOM 검토</t>
    <phoneticPr fontId="39" type="noConversion"/>
  </si>
  <si>
    <t>이우원</t>
    <phoneticPr fontId="39" type="noConversion"/>
  </si>
  <si>
    <t xml:space="preserve">소프트웨어 개발 </t>
    <phoneticPr fontId="39" type="noConversion"/>
  </si>
  <si>
    <t>이우원,신입</t>
    <phoneticPr fontId="39" type="noConversion"/>
  </si>
  <si>
    <t>제품 출하(1차, 15EA)</t>
    <phoneticPr fontId="39" type="noConversion"/>
  </si>
  <si>
    <t xml:space="preserve">시제품 제작 검증 </t>
    <phoneticPr fontId="39" type="noConversion"/>
  </si>
  <si>
    <t>이우원,이휘</t>
    <phoneticPr fontId="39" type="noConversion"/>
  </si>
  <si>
    <t xml:space="preserve">제품 자체 및 공인 평가 </t>
    <phoneticPr fontId="39" type="noConversion"/>
  </si>
  <si>
    <t>제품 선적</t>
    <phoneticPr fontId="39" type="noConversion"/>
  </si>
  <si>
    <t>프로젝트 일정 - 10KWFC_배터리팩</t>
    <phoneticPr fontId="39" type="noConversion"/>
  </si>
  <si>
    <t>문병길</t>
    <phoneticPr fontId="39" type="noConversion"/>
  </si>
  <si>
    <t>이슈 번호</t>
    <phoneticPr fontId="39" type="noConversion"/>
  </si>
  <si>
    <t>통신규약 &amp; DB작성</t>
  </si>
  <si>
    <t>Part list</t>
  </si>
  <si>
    <t>보호설정기준</t>
  </si>
  <si>
    <t>완료 보고서</t>
    <phoneticPr fontId="39" type="noConversion"/>
  </si>
  <si>
    <t>김성열</t>
    <phoneticPr fontId="39" type="noConversion"/>
  </si>
  <si>
    <t>전기설계 및 BOM</t>
    <phoneticPr fontId="39" type="noConversion"/>
  </si>
  <si>
    <t>기구설계 및 BOM</t>
    <phoneticPr fontId="39" type="noConversion"/>
  </si>
  <si>
    <t>배선제작지시서</t>
    <phoneticPr fontId="39" type="noConversion"/>
  </si>
  <si>
    <t>2D설계(제작도면)</t>
  </si>
  <si>
    <t>제작BOM</t>
  </si>
  <si>
    <t>SW 개발</t>
    <phoneticPr fontId="39" type="noConversion"/>
  </si>
  <si>
    <t>신입, 김성열</t>
    <phoneticPr fontId="39" type="noConversion"/>
  </si>
  <si>
    <t>발주 및 입고</t>
    <phoneticPr fontId="39" type="noConversion"/>
  </si>
  <si>
    <t>박성호</t>
    <phoneticPr fontId="39" type="noConversion"/>
  </si>
  <si>
    <t>LPF 제품 조립(1EA/2EA) 및 출하</t>
    <phoneticPr fontId="39" type="noConversion"/>
  </si>
  <si>
    <t>NCM 제품 조립(1EA/2EA) 및 출하</t>
    <phoneticPr fontId="39" type="noConversion"/>
  </si>
  <si>
    <t>NCM 제품 조립(2EA/2EA)) 및 출하</t>
    <phoneticPr fontId="39" type="noConversion"/>
  </si>
  <si>
    <t>LPF 제품 조립(2EA/2EA)) 및 출하</t>
    <phoneticPr fontId="39" type="noConversion"/>
  </si>
  <si>
    <t xml:space="preserve">자체 성능 평가 </t>
    <phoneticPr fontId="39" type="noConversion"/>
  </si>
  <si>
    <t>셀 성증 평가</t>
    <phoneticPr fontId="39" type="noConversion"/>
  </si>
  <si>
    <t>박유미</t>
    <phoneticPr fontId="39" type="noConversion"/>
  </si>
  <si>
    <t>LPF 성능평가 (연속, 순간) 충방전</t>
    <phoneticPr fontId="39" type="noConversion"/>
  </si>
  <si>
    <t>관련문헌</t>
    <phoneticPr fontId="39" type="noConversion"/>
  </si>
  <si>
    <t>NCM 성능평가(연속, 순간) 충방전</t>
    <phoneticPr fontId="39" type="noConversion"/>
  </si>
  <si>
    <t>BMS 기능평가</t>
    <phoneticPr fontId="39" type="noConversion"/>
  </si>
  <si>
    <t>주변 환경평가</t>
    <phoneticPr fontId="39" type="noConversion"/>
  </si>
  <si>
    <t>성능 평가</t>
    <phoneticPr fontId="39" type="noConversion"/>
  </si>
  <si>
    <t>이우원,김미성</t>
    <phoneticPr fontId="39" type="noConversion"/>
  </si>
  <si>
    <t>기능 평가</t>
    <phoneticPr fontId="39" type="noConversion"/>
  </si>
  <si>
    <t>프로젝트 일정 - RT 트레인</t>
  </si>
  <si>
    <t>보호 설정기준</t>
  </si>
  <si>
    <t>제작 메뉴얼</t>
  </si>
  <si>
    <t>전기설계</t>
  </si>
  <si>
    <t>전기 BOM 및 배선제작</t>
  </si>
  <si>
    <t>3D설계</t>
  </si>
  <si>
    <t>기구BOM</t>
  </si>
  <si>
    <t>배선제작</t>
  </si>
  <si>
    <t>Part list 자재 발주</t>
  </si>
  <si>
    <t>전기 자재 발주</t>
  </si>
  <si>
    <t>기구 자재 발주</t>
  </si>
  <si>
    <t>배선 자재 발주</t>
  </si>
  <si>
    <t>제품 조립</t>
  </si>
  <si>
    <t>출하 평가</t>
  </si>
  <si>
    <t>프로젝트 일정 - 항만용AGV충전기</t>
  </si>
  <si>
    <t>박유미</t>
  </si>
  <si>
    <t>프로젝트 일정 - 친환경 선박인증</t>
  </si>
  <si>
    <t xml:space="preserve">고객 정보 </t>
    <phoneticPr fontId="39" type="noConversion"/>
  </si>
  <si>
    <t xml:space="preserve">납품 일정 </t>
    <phoneticPr fontId="39" type="noConversion"/>
  </si>
  <si>
    <t xml:space="preserve">리텍 </t>
    <phoneticPr fontId="39" type="noConversion"/>
  </si>
  <si>
    <t xml:space="preserve">배터리 팩 </t>
    <phoneticPr fontId="39" type="noConversion"/>
  </si>
  <si>
    <t xml:space="preserve">영업 </t>
    <phoneticPr fontId="39" type="noConversion"/>
  </si>
  <si>
    <t xml:space="preserve">1) 전지 사양 : 380V45Ah 배터리 팩 
2) 납품 수량 : 6EA  
3) 고객 희망 : 17,000천원/1EA
4) 희망 납기 : 3월말 
5) 제작 방안 : 설계(HIS)-&gt;제작(엘리트) 제작 의뢰 
6) 이슈 상황 
  -. P40 레이저 용접 가능 확인 </t>
    <phoneticPr fontId="39" type="noConversion"/>
  </si>
  <si>
    <t xml:space="preserve">3월말 </t>
    <phoneticPr fontId="39" type="noConversion"/>
  </si>
  <si>
    <t xml:space="preserve">충남대 </t>
    <phoneticPr fontId="39" type="noConversion"/>
  </si>
  <si>
    <t xml:space="preserve">제작 </t>
    <phoneticPr fontId="39" type="noConversion"/>
  </si>
  <si>
    <t xml:space="preserve">1) 전지 사양 : 642V50Ah 배터리 팩(시제품) 
2) 납품 수량 : 2EA  
3) 고객 희망 : 34,000천원/1EA
4) 희망 납기 : 협의 중
5) 제작 방안 : 설계(HIS)
6) 이슈 상황 
  -. 제작 일정 협의 </t>
    <phoneticPr fontId="39" type="noConversion"/>
  </si>
  <si>
    <t xml:space="preserve">1) 전지 사양 : 642V50Ah 배터리 팩(양산제품), IP65
2) 납품 수량 : 4EA  
3) 고객 희망 : 60,000천원/1EA
4) 희망 납기 : 협의 중
5) 제작 방안 : 설계
6) 이슈 상황
  -. 냉각 장치 선정, 배터리 팩 외함 제작 </t>
    <phoneticPr fontId="39" type="noConversion"/>
  </si>
  <si>
    <t xml:space="preserve">글로버텍 </t>
    <phoneticPr fontId="39" type="noConversion"/>
  </si>
  <si>
    <t>자체 양산</t>
    <phoneticPr fontId="39" type="noConversion"/>
  </si>
  <si>
    <t>컨테이너 트럭 
보조배터리 팩</t>
    <phoneticPr fontId="39" type="noConversion"/>
  </si>
  <si>
    <t xml:space="preserve">1) 이슈 상황
  -. 양방향 충전기 개발 및 양산 방안
  -. 문의 중국 왜 우리 설계 시제품 있으면, 양산 개발 단가 저렴한 이유 대한 설명 </t>
    <phoneticPr fontId="39" type="noConversion"/>
  </si>
  <si>
    <t>사업 계획서</t>
    <phoneticPr fontId="39" type="noConversion"/>
  </si>
  <si>
    <t xml:space="preserve">현대자동차 </t>
    <phoneticPr fontId="39" type="noConversion"/>
  </si>
  <si>
    <t xml:space="preserve">1) 10kWFC_배터리 팩 성능 평가 위한 용역 개발 
2) 중국 현대자동차 내 생산
3) 영업 : 중국 내 지게차 및 모빌리티 업체 판매 계획 
4) 개발 한국 진행 생산 중국
5) 파라시어 / 정보 역량 </t>
    <phoneticPr fontId="39" type="noConversion"/>
  </si>
  <si>
    <t xml:space="preserve">충전기 </t>
    <phoneticPr fontId="39" type="noConversion"/>
  </si>
  <si>
    <t xml:space="preserve">1) 충전기 : 
2) 충전기 인증 : HIS </t>
    <phoneticPr fontId="39" type="noConversion"/>
  </si>
  <si>
    <t>WBS ID</t>
  </si>
  <si>
    <t>대분류</t>
    <phoneticPr fontId="39" type="noConversion"/>
  </si>
  <si>
    <t>중분류</t>
    <phoneticPr fontId="39" type="noConversion"/>
  </si>
  <si>
    <t>소분류</t>
    <phoneticPr fontId="39" type="noConversion"/>
  </si>
  <si>
    <t>대응순위</t>
  </si>
  <si>
    <t>고객사</t>
  </si>
  <si>
    <t xml:space="preserve">이슈제목 /이슈내용/해결방안/기타 </t>
    <phoneticPr fontId="39" type="noConversion"/>
  </si>
  <si>
    <t>최초 발생일</t>
  </si>
  <si>
    <t>완료일</t>
  </si>
  <si>
    <t>상태</t>
  </si>
  <si>
    <t xml:space="preserve">추적 번호 </t>
  </si>
  <si>
    <t>제품 버전</t>
  </si>
  <si>
    <t xml:space="preserve">검토/승인자 지시사항 </t>
    <phoneticPr fontId="39" type="noConversion"/>
  </si>
  <si>
    <t>추진 일정 및 조치 현황</t>
    <phoneticPr fontId="39" type="noConversion"/>
  </si>
  <si>
    <t>비고</t>
  </si>
  <si>
    <t>10kWFC_NCM배터리팩</t>
    <phoneticPr fontId="39" type="noConversion"/>
  </si>
  <si>
    <t>제품설계</t>
    <phoneticPr fontId="39" type="noConversion"/>
  </si>
  <si>
    <t>회로설계</t>
    <phoneticPr fontId="39" type="noConversion"/>
  </si>
  <si>
    <t>제작변경</t>
    <phoneticPr fontId="39" type="noConversion"/>
  </si>
  <si>
    <t>HMC</t>
  </si>
  <si>
    <t>1)온도센서, 전압센싱 케이블 제작 확인
2) 제작일정 상 HIS내부 제작 또는 외주 제작 여부 확인
3) 온도센서 부착후 모듈 적층 가능함.
    케이블 길이 3D설계완(검토의견 회신 대기중)</t>
    <phoneticPr fontId="39" type="noConversion"/>
  </si>
  <si>
    <t>완료</t>
  </si>
  <si>
    <t>시작품</t>
    <phoneticPr fontId="39" type="noConversion"/>
  </si>
  <si>
    <t xml:space="preserve">1) 내부에서 제작 진행을 바랍니다 </t>
    <phoneticPr fontId="39" type="noConversion"/>
  </si>
  <si>
    <t xml:space="preserve">
 2024 제품사업화\25-05 수소지게차용 배터리모듈개발 (현대자동차)\08. 전기도면 및 BOM	</t>
  </si>
  <si>
    <t>1) Slave BMS 온도센서 커넥터 변경 건
2) 스트레이트에서 앵글타입으로 변경 가능 여부
3) Slave BMS 변경없이 모듈 옆면 플레이트 제거후 부착
    Slave BMS 커넥터 스트레이트로 변경</t>
    <phoneticPr fontId="39" type="noConversion"/>
  </si>
  <si>
    <t>1) 화상보고해주세요</t>
    <phoneticPr fontId="39" type="noConversion"/>
  </si>
  <si>
    <t>긴트 SS기 배터리 팩</t>
  </si>
  <si>
    <t>GINT</t>
  </si>
  <si>
    <t>팩 외함 높이 225mm로 유지 요청받음.
팩BMS는 상부에 위치 가능한 방법 검토 필요</t>
    <phoneticPr fontId="39" type="noConversion"/>
  </si>
  <si>
    <t>양산제품</t>
    <phoneticPr fontId="39" type="noConversion"/>
  </si>
  <si>
    <t xml:space="preserve">1) 팩 외함 높이 225mm 제작
2) PACK BMS 내 CPU 모듈 직접 조립함 </t>
    <phoneticPr fontId="39" type="noConversion"/>
  </si>
  <si>
    <t>2D,3D,BOM 변경 완료</t>
    <phoneticPr fontId="39" type="noConversion"/>
  </si>
  <si>
    <t>제품 장비 관리</t>
    <phoneticPr fontId="39" type="noConversion"/>
  </si>
  <si>
    <t>내부</t>
    <phoneticPr fontId="39" type="noConversion"/>
  </si>
  <si>
    <t>1) 레이져 용접설비 내 산업컴퓨터 부팅 불가
2) 울산 컴퓨터 복구업체 컨택및 파라시스 협력사 레이져 용접 의뢰</t>
    <phoneticPr fontId="39" type="noConversion"/>
  </si>
  <si>
    <t>박성호</t>
  </si>
  <si>
    <t>1) 레이저용접 개발자 문의 통해 해결
2) 컴퓨터에서 문의 통해 불량 제품 교환 요청</t>
    <phoneticPr fontId="39" type="noConversion"/>
  </si>
  <si>
    <t xml:space="preserve">1) 복구업체에서 컴퓨터 부품 수리 후 SW업체 별도 수배 진행
2) 김상걸 대표 방문하여 제품 정상 동작 </t>
    <phoneticPr fontId="39" type="noConversion"/>
  </si>
  <si>
    <t>컨택모빌리티</t>
  </si>
  <si>
    <t>1) Baseplate 두께 보강 4t+8t
2)Offgas배관 수직 수평 재설치
    -. 규격플랜지 사용, 규격 가스켓(비석면 또는 고무)사용
3)냉각수 매니폴더 추가 고정 및 위치 수정 요망</t>
  </si>
  <si>
    <t xml:space="preserve">1)1월 26일 기장kmcp방문하여 가스배관 탈거 및 플랜지 수정 작업
2)1월 29일 재방문 시 랙 보강 및 호스 연결작업
1)Baseplate 추가 제작 및 설치
  -. 8t 플레이트 제작 후 RAL7032도장
2)배관 holder적용 검토 후 규격품 구매 진행
3)설계 검토 후 추가 고정 및 위치 검토 </t>
    <phoneticPr fontId="39" type="noConversion"/>
  </si>
  <si>
    <t>현장대응</t>
    <phoneticPr fontId="39" type="noConversion"/>
  </si>
  <si>
    <t>제품교환</t>
    <phoneticPr fontId="39" type="noConversion"/>
  </si>
  <si>
    <t xml:space="preserve">1) 파워 릴레이 오동작 건
2) 차량 재조립 이후부터 파워 릴레이 오동작 발생함
3) 현장 출장 방문 후 이상 동작 원인 조사 예정 </t>
    <phoneticPr fontId="39" type="noConversion"/>
  </si>
  <si>
    <t>01월29일</t>
    <phoneticPr fontId="39" type="noConversion"/>
  </si>
  <si>
    <t>완료</t>
    <phoneticPr fontId="39" type="noConversion"/>
  </si>
  <si>
    <t>시제품</t>
  </si>
  <si>
    <t>1) PWR BMS Wake Up 릴레이 융착
2) PWR BMS 교체 정상 동작 확인</t>
    <phoneticPr fontId="39" type="noConversion"/>
  </si>
  <si>
    <t xml:space="preserve">1) CRU 릴레이 융착 건 
2) 선정 파워 릴레이가 AUX(보조접접 기능) 없음
3) 릴레이 변경 필요 요청 → 고객사 변경 불가능 통보
4) 절연저항 알고리즘 및 보호 불가능 </t>
  </si>
  <si>
    <t>현장대응</t>
  </si>
  <si>
    <t>펌웨어</t>
  </si>
  <si>
    <t>1) 파워 릴레이 오동작 발생에 따라 업체에서 현장 점검 요청
2) 현상 재현되지 않았으며10회 이상 반복 테스트 시 정상 동작 확인</t>
  </si>
  <si>
    <t>02월04일</t>
  </si>
  <si>
    <t>업체 담당자 의견에 따르면, 파워 BMS 릴레이 오동작이 간혈적으로 발생한다고 함</t>
  </si>
  <si>
    <t>1) 충전 테스트 진행
2) TS Master를 이용한 CAN 통신 모니터링으로 SOC, 충전전압 및 전류 확인
3) SOC29% → 60%로 급상승 후 정상적으로 증가하여 79%까지 도달함
4) SOC 약 60%~65% 구간에서 PackBMS에서 릴레이 동작 반복 동작 현상 확인</t>
  </si>
  <si>
    <t>* 충전 테스트 방법
1) SOC 22% → 29% 충전  → 30분 대기
2) SOC 29% → 60%로 급상승하였음
3) SOC 60% → 78.9% 충전 (약 2시간이상 소요) → 테스트 종료
* 업체 담당자가 문의 사항
1) SOC 급상승 이유
2) Pack BMS에서 소음 발생 이유
* CAN Log 파일은 팀즈 : 긴트 공유방에 첨부</t>
  </si>
  <si>
    <t>10kWFC_LPF배터리팩</t>
    <phoneticPr fontId="39" type="noConversion"/>
  </si>
  <si>
    <t>1) BMS Wake-Up 릴레이 유착 발생
2) Wake-Up 릴레이 접점부에서 고전압 아크 발생으로 릴레이 유착 발생
3) 동일 이슈 재발 방지를 위한 PCB 재설계 검토 필요</t>
    <phoneticPr fontId="56" type="noConversion"/>
  </si>
  <si>
    <t>이우원</t>
    <phoneticPr fontId="56" type="noConversion"/>
  </si>
  <si>
    <t>제품제작</t>
    <phoneticPr fontId="56" type="noConversion"/>
  </si>
  <si>
    <t>전장설계</t>
    <phoneticPr fontId="39" type="noConversion"/>
  </si>
  <si>
    <t>제품보완</t>
    <phoneticPr fontId="39" type="noConversion"/>
  </si>
  <si>
    <t>1) 배선 경로 신규 제작
2) 배선이 난잡하여 외관 품질이 저하되고, 배선 간 간섭 및 스트레스로 인해 
   배선 끊김 현상이 발생함.
3) 외관 품질 및 신뢰성 확보를 위해 배선 경로를 전면 재설계하고 신규 제작이 필요함.</t>
    <phoneticPr fontId="56" type="noConversion"/>
  </si>
  <si>
    <t>박성호</t>
    <phoneticPr fontId="56" type="noConversion"/>
  </si>
  <si>
    <t xml:space="preserve">1) 신규 제작 일정 확인 후에 재제작 진행
2) 추가 LPF 납품 후, 3일 이내 교체 바람 </t>
    <phoneticPr fontId="56" type="noConversion"/>
  </si>
  <si>
    <t>1) PWR BMS 제작 오류 발생
2) PWR BMS BOM 오류로 DC-DC 컨버터 사양 오제작(24V → 12V)
3) DC-DC 컨버터 교체 조치 필요</t>
    <phoneticPr fontId="56" type="noConversion"/>
  </si>
  <si>
    <t>전장설계</t>
    <phoneticPr fontId="56" type="noConversion"/>
  </si>
  <si>
    <t>제작보완</t>
    <phoneticPr fontId="56" type="noConversion"/>
  </si>
  <si>
    <t>HMC</t>
    <phoneticPr fontId="56" type="noConversion"/>
  </si>
  <si>
    <t>1) 외부 커넥터 오제작 발생
2) 1번·5번 핀 오제작으로 인해 연료전지 파워팩 비정상적으로 동작함
3) 전기도면 설계 반영 필요</t>
    <phoneticPr fontId="56" type="noConversion"/>
  </si>
  <si>
    <t>완료</t>
    <phoneticPr fontId="56" type="noConversion"/>
  </si>
  <si>
    <t>김성열
박성호</t>
    <phoneticPr fontId="56" type="noConversion"/>
  </si>
  <si>
    <t xml:space="preserve">1) 김성열, 박성호 및 문병길 책임 해당 사항 도면 사항 
2) 제작 공유 </t>
    <phoneticPr fontId="56" type="noConversion"/>
  </si>
  <si>
    <t>1) CAN 통신 미동작 건 
2) 현장에서 CAN 통신이 이루어지지 않아 시스템 동작 불가
3) 제품 점검 후 외관 케이스 장착 과정에서 CAN DC-DC 컨버터 파손 확인</t>
    <phoneticPr fontId="56" type="noConversion"/>
  </si>
  <si>
    <t xml:space="preserve">1) 최종적으로 제작 후 기능 재시험 이후에 출하 요청 </t>
    <phoneticPr fontId="56" type="noConversion"/>
  </si>
  <si>
    <t>제품평가</t>
    <phoneticPr fontId="56" type="noConversion"/>
  </si>
  <si>
    <t xml:space="preserve">펌웨어 </t>
    <phoneticPr fontId="56" type="noConversion"/>
  </si>
  <si>
    <t xml:space="preserve">SW보완 </t>
    <phoneticPr fontId="56" type="noConversion"/>
  </si>
  <si>
    <t xml:space="preserve">1) SOC 오차율 정밀도 
2) SOC EPROM 저장 시, 쓰기 동작 시 지연 따른 쓰기 동작 오류 발생
3) CRC 체크 로직 적용하여 쓰기 동작 오류 발생 최소화 </t>
    <phoneticPr fontId="56" type="noConversion"/>
  </si>
  <si>
    <t>1) SOC 5% 단위별 순간 방전 재시험 필요
2) 장비 Ah 연산값을 기준으로 재시험하는 방향으로 협의 
3) 시험 기관에 재시험 절차서 작성·전달 및 시험 일정 변경 요청 예정(화요일)</t>
    <phoneticPr fontId="56" type="noConversion"/>
  </si>
  <si>
    <t>1) Bsa_Ste 'Warning' 정의 건 
2) Bsa_Ste Warning 상태에서는 릴레이가 정상 동작하며, Fault 상태에서만 릴레이 차단됨
3) 로직 이상 유무 확인 후 펌웨어 재설치 예정</t>
    <phoneticPr fontId="56" type="noConversion"/>
  </si>
  <si>
    <t>1) Bsa_Ste 'Warning' 검출 건 
2) Bsa_Ste는 Warning 상태 있지만, CAN D.B 상에서 Warning  내역이 검출 안됨
3) CAN D.B 및 펌웨어 Warning 로직 이상 유무 확인 후 펌웨어 재설치 예정</t>
    <phoneticPr fontId="56" type="noConversion"/>
  </si>
  <si>
    <t>1) Bsa_Ste Reset 상태 천이 오류 발생
2) Bsa_Ste ‘Init’ 상태에서 릴레이 제어 시 ‘Run’으로 상태 천이되나, 실제 릴레이는 동작하지 않음
3) 강제 RESET 이후 시퀀스 로직을 확인하여 원인 파악 후 펌웨어 재설치 예정</t>
    <phoneticPr fontId="56" type="noConversion"/>
  </si>
  <si>
    <t>1.5.4</t>
    <phoneticPr fontId="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</si>
</sst>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dd"/>
    <numFmt numFmtId="177" formatCode="yyyy\/mm\/dd;@"/>
    <numFmt numFmtId="178" formatCode="aaa"/>
    <numFmt numFmtId="179" formatCode="mm&quot;월&quot;\ dd&quot;일&quot;"/>
    <numFmt numFmtId="180" formatCode="yyyy/mm/dd;@"/>
  </numFmts>
  <fonts count="57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  <font>
      <b/>
      <sz val="26"/>
      <color rgb="FF0000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FFFFFF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color rgb="FF7F7F7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404040"/>
      <name val="맑은 고딕"/>
      <family val="3"/>
      <charset val="129"/>
    </font>
    <font>
      <sz val="9"/>
      <color rgb="FFC29401"/>
      <name val="맑은 고딕"/>
      <family val="3"/>
      <charset val="129"/>
    </font>
    <font>
      <sz val="8"/>
      <color rgb="FF7F7F7F"/>
      <name val="Verdana"/>
      <family val="2"/>
    </font>
    <font>
      <b/>
      <sz val="9"/>
      <color rgb="FF000000"/>
      <name val="Verdana"/>
      <family val="2"/>
    </font>
    <font>
      <sz val="9"/>
      <color rgb="FF404040"/>
      <name val="Verdana"/>
      <family val="2"/>
    </font>
    <font>
      <b/>
      <sz val="9"/>
      <color rgb="FFFEC306"/>
      <name val="Verdana"/>
      <family val="2"/>
    </font>
    <font>
      <sz val="8"/>
      <color rgb="FF7F7F7F"/>
      <name val="맑은 고딕"/>
      <family val="3"/>
      <charset val="129"/>
    </font>
    <font>
      <sz val="9"/>
      <color rgb="FF00B0F0"/>
      <name val="Verdana"/>
      <family val="2"/>
    </font>
    <font>
      <sz val="9"/>
      <color rgb="FF000000"/>
      <name val="Verdana"/>
      <family val="2"/>
    </font>
    <font>
      <b/>
      <sz val="9"/>
      <color rgb="FF404040"/>
      <name val="맑은 고딕"/>
      <family val="3"/>
      <charset val="129"/>
    </font>
    <font>
      <b/>
      <sz val="9"/>
      <color rgb="FF404040"/>
      <name val="Verdana"/>
      <family val="2"/>
    </font>
    <font>
      <b/>
      <sz val="18"/>
      <color rgb="FF000000"/>
      <name val="맑은 고딕"/>
      <family val="3"/>
      <charset val="129"/>
    </font>
    <font>
      <sz val="8"/>
      <color rgb="FF00B0F0"/>
      <name val="Verdana"/>
      <family val="2"/>
    </font>
    <font>
      <b/>
      <sz val="9"/>
      <color rgb="FFBFBFBF"/>
      <name val="Verdana"/>
      <family val="2"/>
    </font>
    <font>
      <sz val="10"/>
      <color rgb="FF00B0F0"/>
      <name val="맑은 고딕"/>
      <family val="3"/>
      <charset val="129"/>
    </font>
    <font>
      <sz val="9"/>
      <color rgb="FF00B0F0"/>
      <name val="맑은 고딕"/>
      <family val="3"/>
      <charset val="129"/>
    </font>
    <font>
      <b/>
      <sz val="9"/>
      <color rgb="FF00B0F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sz val="10"/>
      <color indexed="81"/>
      <name val="돋움"/>
      <family val="3"/>
      <charset val="129"/>
    </font>
    <font>
      <b/>
      <sz val="8"/>
      <color rgb="FF00B0F0"/>
      <name val="Verdana"/>
      <family val="2"/>
    </font>
    <font>
      <b/>
      <sz val="9"/>
      <color rgb="FFC00000"/>
      <name val="Verdana"/>
      <family val="2"/>
    </font>
    <font>
      <b/>
      <sz val="9"/>
      <color rgb="FFC00000"/>
      <name val="맑은 고딕"/>
      <family val="3"/>
      <charset val="129"/>
    </font>
    <font>
      <sz val="9"/>
      <color rgb="FFC00000"/>
      <name val="Verdana"/>
      <family val="2"/>
    </font>
    <font>
      <sz val="9"/>
      <color rgb="FFC00000"/>
      <name val="맑은 고딕"/>
      <family val="3"/>
      <charset val="129"/>
    </font>
    <font>
      <b/>
      <sz val="8"/>
      <color rgb="FFC00000"/>
      <name val="Verdana"/>
      <family val="2"/>
    </font>
    <font>
      <u/>
      <sz val="11"/>
      <color theme="10"/>
      <name val="맑은 고딕"/>
      <family val="3"/>
      <charset val="129"/>
    </font>
    <font>
      <u/>
      <sz val="9"/>
      <color theme="10"/>
      <name val="맑은 고딕"/>
      <family val="3"/>
      <charset val="129"/>
    </font>
    <font>
      <b/>
      <sz val="9"/>
      <color rgb="FFFF0000"/>
      <name val="Verdana"/>
      <family val="2"/>
    </font>
    <font>
      <b/>
      <sz val="9"/>
      <color rgb="FFFF0000"/>
      <name val="맑은 고딕"/>
      <family val="3"/>
      <charset val="129"/>
    </font>
    <font>
      <b/>
      <u/>
      <sz val="9"/>
      <color rgb="FFFF0000"/>
      <name val="맑은 고딕"/>
      <family val="3"/>
      <charset val="129"/>
    </font>
    <font>
      <b/>
      <sz val="8"/>
      <color rgb="FFFF0000"/>
      <name val="Verdana"/>
      <family val="2"/>
    </font>
    <font>
      <sz val="8"/>
      <name val="맑은 고딕"/>
      <family val="2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gradientFill degree="270">
        <stop position="0">
          <color rgb="FFF8F8F8"/>
        </stop>
        <stop position="1">
          <color rgb="FFF2F2F2"/>
        </stop>
      </gradientFill>
    </fill>
    <fill>
      <patternFill patternType="solid">
        <fgColor rgb="FFF8F8F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EC306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5E5E5E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rgb="FFFEC306"/>
      </bottom>
      <diagonal/>
    </border>
    <border>
      <left/>
      <right/>
      <top style="medium">
        <color rgb="FFFEC306"/>
      </top>
      <bottom style="thin">
        <color rgb="FFD9D9D9"/>
      </bottom>
      <diagonal/>
    </border>
    <border>
      <left/>
      <right/>
      <top/>
      <bottom style="thin">
        <color rgb="FFF2F2F2"/>
      </bottom>
      <diagonal/>
    </border>
    <border>
      <left/>
      <right/>
      <top style="thin">
        <color rgb="FFF2F2F2"/>
      </top>
      <bottom style="thin">
        <color rgb="FFF2F2F2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2F2F2"/>
      </right>
      <top/>
      <bottom style="medium">
        <color rgb="FFFEC306"/>
      </bottom>
      <diagonal/>
    </border>
    <border>
      <left/>
      <right style="thin">
        <color rgb="FFF2F2F2"/>
      </right>
      <top style="medium">
        <color rgb="FFFEC306"/>
      </top>
      <bottom style="thin">
        <color rgb="FFD9D9D9"/>
      </bottom>
      <diagonal/>
    </border>
    <border>
      <left/>
      <right style="thin">
        <color rgb="FFF2F2F2"/>
      </right>
      <top/>
      <bottom style="thin">
        <color rgb="FFD9D9D9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/>
      <top/>
      <bottom style="thick">
        <color rgb="FFF2F2F2"/>
      </bottom>
      <diagonal/>
    </border>
    <border>
      <left/>
      <right/>
      <top style="thin">
        <color rgb="FFD9D9D9"/>
      </top>
      <bottom style="thin">
        <color rgb="FFF2F2F2"/>
      </bottom>
      <diagonal/>
    </border>
    <border>
      <left/>
      <right/>
      <top style="thin">
        <color rgb="FFF2F2F2"/>
      </top>
      <bottom/>
      <diagonal/>
    </border>
    <border>
      <left/>
      <right style="thin">
        <color rgb="FFF2F2F2"/>
      </right>
      <top style="thin">
        <color rgb="FFF2F2F2"/>
      </top>
      <bottom/>
      <diagonal/>
    </border>
    <border>
      <left/>
      <right style="thin">
        <color rgb="FFF2F2F2"/>
      </right>
      <top/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</borders>
  <cellStyleXfs count="7">
    <xf numFmtId="0" fontId="0" fillId="0" borderId="0">
      <alignment vertical="center"/>
    </xf>
    <xf numFmtId="9" fontId="35" fillId="0" borderId="0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/>
    <xf numFmtId="0" fontId="36" fillId="0" borderId="0"/>
    <xf numFmtId="0" fontId="5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208">
    <xf numFmtId="0" fontId="0" fillId="0" borderId="0" xfId="0" applyAlignment="1"/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3" applyFont="1" applyFill="1" applyAlignment="1">
      <alignment horizontal="left" vertical="center" indent="1"/>
    </xf>
    <xf numFmtId="0" fontId="4" fillId="4" borderId="0" xfId="0" applyFont="1" applyFill="1">
      <alignment vertical="center"/>
    </xf>
    <xf numFmtId="0" fontId="4" fillId="4" borderId="0" xfId="0" applyFont="1" applyFill="1" applyAlignment="1">
      <alignment horizontal="center" vertical="center"/>
    </xf>
    <xf numFmtId="0" fontId="6" fillId="4" borderId="0" xfId="0" applyFont="1" applyFill="1">
      <alignment vertical="center"/>
    </xf>
    <xf numFmtId="14" fontId="4" fillId="4" borderId="0" xfId="0" applyNumberFormat="1" applyFont="1" applyFill="1" applyAlignment="1">
      <alignment horizontal="center" vertical="center"/>
    </xf>
    <xf numFmtId="0" fontId="7" fillId="4" borderId="0" xfId="0" applyFont="1" applyFill="1" applyProtection="1">
      <alignment vertical="center"/>
      <protection locked="0"/>
    </xf>
    <xf numFmtId="0" fontId="4" fillId="4" borderId="0" xfId="0" applyFont="1" applyFill="1" applyAlignment="1">
      <alignment textRotation="90"/>
    </xf>
    <xf numFmtId="0" fontId="4" fillId="2" borderId="1" xfId="0" applyFont="1" applyFill="1" applyBorder="1" applyAlignment="1"/>
    <xf numFmtId="0" fontId="4" fillId="4" borderId="0" xfId="0" applyFont="1" applyFill="1" applyProtection="1">
      <alignment vertical="center"/>
      <protection locked="0"/>
    </xf>
    <xf numFmtId="0" fontId="8" fillId="4" borderId="2" xfId="0" applyFont="1" applyFill="1" applyBorder="1" applyProtection="1">
      <alignment vertical="center"/>
      <protection locked="0"/>
    </xf>
    <xf numFmtId="0" fontId="8" fillId="2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Protection="1">
      <alignment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Protection="1">
      <alignment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8" fillId="4" borderId="5" xfId="0" applyFont="1" applyFill="1" applyBorder="1" applyProtection="1">
      <alignment vertical="center"/>
      <protection locked="0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9" fillId="4" borderId="0" xfId="0" applyFont="1" applyFill="1" applyAlignment="1">
      <alignment horizontal="right" vertical="center" indent="1"/>
    </xf>
    <xf numFmtId="0" fontId="10" fillId="4" borderId="0" xfId="0" applyFont="1" applyFill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2" fillId="0" borderId="3" xfId="0" applyFont="1" applyBorder="1" applyAlignment="1" applyProtection="1">
      <alignment horizontal="center" vertical="center"/>
      <protection locked="0"/>
    </xf>
    <xf numFmtId="0" fontId="11" fillId="5" borderId="5" xfId="0" applyFont="1" applyFill="1" applyBorder="1" applyAlignment="1">
      <alignment horizontal="center" vertical="center"/>
    </xf>
    <xf numFmtId="0" fontId="13" fillId="6" borderId="0" xfId="0" applyFont="1" applyFill="1">
      <alignment vertical="center"/>
    </xf>
    <xf numFmtId="0" fontId="10" fillId="7" borderId="0" xfId="0" applyFont="1" applyFill="1">
      <alignment vertical="center"/>
    </xf>
    <xf numFmtId="0" fontId="10" fillId="8" borderId="0" xfId="0" applyFont="1" applyFill="1">
      <alignment vertical="center"/>
    </xf>
    <xf numFmtId="0" fontId="10" fillId="9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176" fontId="14" fillId="2" borderId="1" xfId="0" applyNumberFormat="1" applyFont="1" applyFill="1" applyBorder="1" applyAlignment="1">
      <alignment horizontal="center" vertical="center" wrapText="1"/>
    </xf>
    <xf numFmtId="177" fontId="15" fillId="5" borderId="2" xfId="0" applyNumberFormat="1" applyFont="1" applyFill="1" applyBorder="1" applyAlignment="1">
      <alignment horizontal="center" vertical="center"/>
    </xf>
    <xf numFmtId="177" fontId="15" fillId="5" borderId="5" xfId="0" applyNumberFormat="1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6" fillId="0" borderId="3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 applyProtection="1">
      <alignment horizontal="center" vertical="center"/>
      <protection locked="0"/>
    </xf>
    <xf numFmtId="0" fontId="15" fillId="5" borderId="5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15" fillId="5" borderId="2" xfId="0" applyFont="1" applyFill="1" applyBorder="1" applyAlignment="1" applyProtection="1">
      <alignment horizontal="left" vertical="center" indent="1"/>
      <protection locked="0"/>
    </xf>
    <xf numFmtId="0" fontId="15" fillId="5" borderId="5" xfId="0" applyFont="1" applyFill="1" applyBorder="1" applyAlignment="1" applyProtection="1">
      <alignment horizontal="left" vertical="center" indent="1"/>
      <protection locked="0"/>
    </xf>
    <xf numFmtId="0" fontId="14" fillId="0" borderId="3" xfId="0" applyFont="1" applyBorder="1" applyAlignment="1" applyProtection="1">
      <alignment horizontal="left" vertical="center" indent="1"/>
      <protection locked="0"/>
    </xf>
    <xf numFmtId="0" fontId="14" fillId="0" borderId="4" xfId="0" applyFont="1" applyBorder="1" applyAlignment="1" applyProtection="1">
      <alignment horizontal="left" vertical="center" indent="1"/>
      <protection locked="0"/>
    </xf>
    <xf numFmtId="178" fontId="18" fillId="5" borderId="5" xfId="0" applyNumberFormat="1" applyFont="1" applyFill="1" applyBorder="1" applyAlignment="1">
      <alignment horizontal="center" vertical="center"/>
    </xf>
    <xf numFmtId="0" fontId="9" fillId="4" borderId="0" xfId="0" applyFont="1" applyFill="1">
      <alignment vertical="center"/>
    </xf>
    <xf numFmtId="0" fontId="15" fillId="4" borderId="0" xfId="0" applyFont="1" applyFill="1">
      <alignment vertical="center"/>
    </xf>
    <xf numFmtId="0" fontId="6" fillId="4" borderId="0" xfId="0" applyFont="1" applyFill="1" applyAlignment="1">
      <alignment horizontal="center" vertical="center"/>
    </xf>
    <xf numFmtId="177" fontId="19" fillId="0" borderId="3" xfId="0" applyNumberFormat="1" applyFont="1" applyBorder="1" applyAlignment="1" applyProtection="1">
      <alignment horizontal="center" vertical="center"/>
      <protection locked="0"/>
    </xf>
    <xf numFmtId="0" fontId="20" fillId="0" borderId="9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77" fontId="22" fillId="0" borderId="10" xfId="0" applyNumberFormat="1" applyFont="1" applyBorder="1" applyAlignment="1" applyProtection="1">
      <alignment horizontal="center" vertical="center"/>
      <protection locked="0"/>
    </xf>
    <xf numFmtId="0" fontId="23" fillId="2" borderId="0" xfId="0" applyFont="1" applyFill="1">
      <alignment vertical="center"/>
    </xf>
    <xf numFmtId="0" fontId="9" fillId="4" borderId="0" xfId="0" applyFont="1" applyFill="1" applyAlignment="1">
      <alignment horizontal="right" vertical="center"/>
    </xf>
    <xf numFmtId="0" fontId="10" fillId="4" borderId="0" xfId="0" applyFont="1" applyFill="1" applyAlignment="1">
      <alignment horizontal="right" vertical="center"/>
    </xf>
    <xf numFmtId="9" fontId="24" fillId="0" borderId="3" xfId="1" applyFont="1" applyBorder="1" applyAlignment="1" applyProtection="1">
      <alignment horizontal="center" vertical="center"/>
      <protection locked="0"/>
    </xf>
    <xf numFmtId="9" fontId="25" fillId="5" borderId="2" xfId="0" applyNumberFormat="1" applyFont="1" applyFill="1" applyBorder="1" applyAlignment="1">
      <alignment horizontal="center" vertical="center"/>
    </xf>
    <xf numFmtId="9" fontId="25" fillId="5" borderId="5" xfId="0" applyNumberFormat="1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7" fillId="0" borderId="4" xfId="0" applyFont="1" applyBorder="1" applyAlignment="1" applyProtection="1">
      <alignment horizontal="left" vertical="center" indent="1"/>
      <protection locked="0"/>
    </xf>
    <xf numFmtId="0" fontId="27" fillId="0" borderId="11" xfId="0" applyFont="1" applyBorder="1" applyAlignment="1" applyProtection="1">
      <alignment horizontal="left" vertical="center" indent="1"/>
      <protection locked="0"/>
    </xf>
    <xf numFmtId="0" fontId="27" fillId="0" borderId="4" xfId="0" applyFont="1" applyBorder="1" applyProtection="1">
      <alignment vertical="center"/>
      <protection locked="0"/>
    </xf>
    <xf numFmtId="0" fontId="28" fillId="5" borderId="2" xfId="0" applyFont="1" applyFill="1" applyBorder="1" applyProtection="1">
      <alignment vertical="center"/>
      <protection locked="0"/>
    </xf>
    <xf numFmtId="0" fontId="27" fillId="0" borderId="11" xfId="0" applyFont="1" applyBorder="1" applyProtection="1">
      <alignment vertical="center"/>
      <protection locked="0"/>
    </xf>
    <xf numFmtId="0" fontId="28" fillId="5" borderId="5" xfId="0" applyFont="1" applyFill="1" applyBorder="1" applyProtection="1">
      <alignment vertical="center"/>
      <protection locked="0"/>
    </xf>
    <xf numFmtId="0" fontId="27" fillId="0" borderId="3" xfId="0" applyFont="1" applyBorder="1" applyProtection="1">
      <alignment vertical="center"/>
      <protection locked="0"/>
    </xf>
    <xf numFmtId="0" fontId="20" fillId="0" borderId="3" xfId="0" applyFont="1" applyBorder="1" applyAlignment="1" applyProtection="1">
      <alignment horizontal="center" vertical="center"/>
      <protection locked="0"/>
    </xf>
    <xf numFmtId="0" fontId="27" fillId="0" borderId="0" xfId="0" applyFont="1" applyAlignment="1" applyProtection="1">
      <alignment horizontal="left" vertical="center" indent="1"/>
      <protection locked="0"/>
    </xf>
    <xf numFmtId="0" fontId="27" fillId="0" borderId="0" xfId="0" applyFont="1" applyProtection="1">
      <alignment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77" fontId="19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9" fontId="24" fillId="0" borderId="0" xfId="1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7" fillId="0" borderId="12" xfId="0" applyFont="1" applyBorder="1" applyAlignment="1" applyProtection="1">
      <alignment horizontal="left" vertical="center" indent="1"/>
      <protection locked="0"/>
    </xf>
    <xf numFmtId="0" fontId="27" fillId="0" borderId="12" xfId="0" applyFont="1" applyBorder="1" applyProtection="1">
      <alignment vertical="center"/>
      <protection locked="0"/>
    </xf>
    <xf numFmtId="0" fontId="12" fillId="0" borderId="12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77" fontId="20" fillId="0" borderId="3" xfId="0" applyNumberFormat="1" applyFont="1" applyBorder="1" applyAlignment="1" applyProtection="1">
      <alignment horizontal="center" vertical="center"/>
      <protection locked="0"/>
    </xf>
    <xf numFmtId="0" fontId="11" fillId="5" borderId="2" xfId="0" applyFont="1" applyFill="1" applyBorder="1" applyAlignment="1" applyProtection="1">
      <alignment horizontal="center" vertical="center"/>
      <protection locked="0"/>
    </xf>
    <xf numFmtId="0" fontId="11" fillId="5" borderId="5" xfId="0" applyFont="1" applyFill="1" applyBorder="1" applyAlignment="1" applyProtection="1">
      <alignment horizontal="center" vertical="center"/>
      <protection locked="0"/>
    </xf>
    <xf numFmtId="0" fontId="27" fillId="0" borderId="3" xfId="0" applyFont="1" applyBorder="1" applyAlignment="1" applyProtection="1">
      <alignment horizontal="left" vertical="center" indent="1"/>
      <protection locked="0"/>
    </xf>
    <xf numFmtId="177" fontId="20" fillId="0" borderId="0" xfId="0" applyNumberFormat="1" applyFont="1" applyAlignment="1" applyProtection="1">
      <alignment horizontal="center" vertical="center"/>
      <protection locked="0"/>
    </xf>
    <xf numFmtId="0" fontId="20" fillId="0" borderId="14" xfId="0" applyFont="1" applyBorder="1" applyAlignment="1">
      <alignment horizontal="center" vertical="center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0" borderId="0" xfId="0">
      <alignment vertical="center"/>
    </xf>
    <xf numFmtId="0" fontId="0" fillId="0" borderId="17" xfId="0" applyBorder="1" applyAlignment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vertical="center" wrapText="1"/>
    </xf>
    <xf numFmtId="179" fontId="0" fillId="0" borderId="21" xfId="0" applyNumberFormat="1" applyBorder="1">
      <alignment vertical="center"/>
    </xf>
    <xf numFmtId="0" fontId="30" fillId="0" borderId="21" xfId="0" applyFont="1" applyBorder="1" applyAlignment="1">
      <alignment vertical="center" wrapText="1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5" xfId="0" applyBorder="1" applyAlignment="1"/>
    <xf numFmtId="0" fontId="37" fillId="11" borderId="30" xfId="4" applyFont="1" applyFill="1" applyBorder="1" applyAlignment="1">
      <alignment horizontal="center" vertical="center" wrapText="1"/>
    </xf>
    <xf numFmtId="0" fontId="1" fillId="0" borderId="0" xfId="2" applyFont="1" applyFill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36" fillId="0" borderId="30" xfId="4" applyBorder="1" applyAlignment="1">
      <alignment horizontal="center" vertical="center"/>
    </xf>
    <xf numFmtId="0" fontId="36" fillId="0" borderId="29" xfId="4" applyBorder="1" applyAlignment="1">
      <alignment horizontal="center" vertical="center"/>
    </xf>
    <xf numFmtId="0" fontId="36" fillId="0" borderId="28" xfId="4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1" fillId="0" borderId="30" xfId="0" applyNumberFormat="1" applyFont="1" applyBorder="1" applyAlignment="1">
      <alignment horizontal="center" vertical="center"/>
    </xf>
    <xf numFmtId="9" fontId="1" fillId="0" borderId="30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80" fontId="38" fillId="5" borderId="30" xfId="0" applyNumberFormat="1" applyFont="1" applyFill="1" applyBorder="1" applyAlignment="1">
      <alignment horizontal="center" vertical="center"/>
    </xf>
    <xf numFmtId="0" fontId="1" fillId="0" borderId="21" xfId="0" applyFont="1" applyBorder="1" applyAlignment="1">
      <alignment vertical="center" wrapText="1"/>
    </xf>
    <xf numFmtId="0" fontId="0" fillId="0" borderId="0" xfId="0" applyAlignment="1">
      <alignment horizontal="center"/>
    </xf>
    <xf numFmtId="179" fontId="0" fillId="0" borderId="21" xfId="0" applyNumberForma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20" xfId="0" applyBorder="1" applyAlignment="1">
      <alignment horizontal="center"/>
    </xf>
    <xf numFmtId="0" fontId="0" fillId="0" borderId="24" xfId="0" applyBorder="1" applyAlignment="1">
      <alignment horizontal="center"/>
    </xf>
    <xf numFmtId="0" fontId="31" fillId="0" borderId="21" xfId="0" applyFont="1" applyBorder="1" applyAlignment="1">
      <alignment vertical="center" wrapText="1"/>
    </xf>
    <xf numFmtId="0" fontId="21" fillId="12" borderId="3" xfId="0" applyFont="1" applyFill="1" applyBorder="1" applyAlignment="1" applyProtection="1">
      <alignment horizontal="center" vertical="center"/>
      <protection locked="0"/>
    </xf>
    <xf numFmtId="9" fontId="44" fillId="12" borderId="3" xfId="1" applyFont="1" applyFill="1" applyBorder="1" applyAlignment="1" applyProtection="1">
      <alignment horizontal="center" vertical="center"/>
      <protection locked="0"/>
    </xf>
    <xf numFmtId="0" fontId="45" fillId="12" borderId="2" xfId="0" applyFont="1" applyFill="1" applyBorder="1" applyAlignment="1" applyProtection="1">
      <alignment horizontal="left" vertical="center" indent="1"/>
      <protection locked="0"/>
    </xf>
    <xf numFmtId="0" fontId="46" fillId="12" borderId="2" xfId="0" applyFont="1" applyFill="1" applyBorder="1" applyProtection="1">
      <alignment vertical="center"/>
      <protection locked="0"/>
    </xf>
    <xf numFmtId="0" fontId="47" fillId="5" borderId="5" xfId="0" applyFont="1" applyFill="1" applyBorder="1" applyAlignment="1" applyProtection="1">
      <alignment horizontal="left" vertical="center" indent="1"/>
      <protection locked="0"/>
    </xf>
    <xf numFmtId="0" fontId="48" fillId="5" borderId="5" xfId="0" applyFont="1" applyFill="1" applyBorder="1" applyProtection="1">
      <alignment vertical="center"/>
      <protection locked="0"/>
    </xf>
    <xf numFmtId="0" fontId="49" fillId="12" borderId="3" xfId="0" applyFont="1" applyFill="1" applyBorder="1" applyAlignment="1" applyProtection="1">
      <alignment horizontal="left" vertical="center" indent="1"/>
      <protection locked="0"/>
    </xf>
    <xf numFmtId="0" fontId="46" fillId="12" borderId="4" xfId="0" applyFont="1" applyFill="1" applyBorder="1" applyAlignment="1" applyProtection="1">
      <alignment horizontal="left" vertical="center" indent="1"/>
      <protection locked="0"/>
    </xf>
    <xf numFmtId="0" fontId="46" fillId="12" borderId="4" xfId="0" applyFont="1" applyFill="1" applyBorder="1" applyProtection="1">
      <alignment vertical="center"/>
      <protection locked="0"/>
    </xf>
    <xf numFmtId="0" fontId="14" fillId="0" borderId="0" xfId="0" applyFont="1" applyAlignment="1" applyProtection="1">
      <alignment horizontal="left" vertical="center" indent="1"/>
      <protection locked="0"/>
    </xf>
    <xf numFmtId="0" fontId="45" fillId="5" borderId="2" xfId="0" applyFont="1" applyFill="1" applyBorder="1" applyAlignment="1" applyProtection="1">
      <alignment horizontal="left" vertical="center" indent="1"/>
      <protection locked="0"/>
    </xf>
    <xf numFmtId="0" fontId="46" fillId="5" borderId="2" xfId="0" applyFont="1" applyFill="1" applyBorder="1" applyProtection="1">
      <alignment vertical="center"/>
      <protection locked="0"/>
    </xf>
    <xf numFmtId="0" fontId="46" fillId="5" borderId="2" xfId="0" applyFont="1" applyFill="1" applyBorder="1" applyAlignment="1" applyProtection="1">
      <alignment horizontal="center" vertical="center"/>
      <protection locked="0"/>
    </xf>
    <xf numFmtId="177" fontId="45" fillId="5" borderId="2" xfId="0" applyNumberFormat="1" applyFont="1" applyFill="1" applyBorder="1" applyAlignment="1">
      <alignment horizontal="center" vertical="center"/>
    </xf>
    <xf numFmtId="0" fontId="45" fillId="5" borderId="2" xfId="0" applyFont="1" applyFill="1" applyBorder="1" applyAlignment="1">
      <alignment horizontal="center" vertical="center"/>
    </xf>
    <xf numFmtId="0" fontId="45" fillId="5" borderId="5" xfId="0" applyFont="1" applyFill="1" applyBorder="1" applyAlignment="1" applyProtection="1">
      <alignment horizontal="left" vertical="center" indent="1"/>
      <protection locked="0"/>
    </xf>
    <xf numFmtId="0" fontId="46" fillId="5" borderId="5" xfId="0" applyFont="1" applyFill="1" applyBorder="1" applyProtection="1">
      <alignment vertical="center"/>
      <protection locked="0"/>
    </xf>
    <xf numFmtId="0" fontId="46" fillId="5" borderId="5" xfId="0" applyFont="1" applyFill="1" applyBorder="1" applyAlignment="1" applyProtection="1">
      <alignment horizontal="center" vertical="center"/>
      <protection locked="0"/>
    </xf>
    <xf numFmtId="177" fontId="45" fillId="5" borderId="5" xfId="0" applyNumberFormat="1" applyFont="1" applyFill="1" applyBorder="1" applyAlignment="1">
      <alignment horizontal="center" vertical="center"/>
    </xf>
    <xf numFmtId="0" fontId="45" fillId="5" borderId="5" xfId="0" applyFont="1" applyFill="1" applyBorder="1" applyAlignment="1">
      <alignment horizontal="center" vertical="center"/>
    </xf>
    <xf numFmtId="9" fontId="45" fillId="5" borderId="5" xfId="0" applyNumberFormat="1" applyFont="1" applyFill="1" applyBorder="1" applyAlignment="1">
      <alignment horizontal="center" vertical="center"/>
    </xf>
    <xf numFmtId="0" fontId="48" fillId="5" borderId="5" xfId="0" applyFont="1" applyFill="1" applyBorder="1" applyAlignment="1" applyProtection="1">
      <alignment horizontal="center" vertical="center"/>
      <protection locked="0"/>
    </xf>
    <xf numFmtId="177" fontId="47" fillId="5" borderId="5" xfId="0" applyNumberFormat="1" applyFont="1" applyFill="1" applyBorder="1" applyAlignment="1">
      <alignment horizontal="center" vertical="center"/>
    </xf>
    <xf numFmtId="0" fontId="47" fillId="5" borderId="5" xfId="0" applyFont="1" applyFill="1" applyBorder="1" applyAlignment="1">
      <alignment horizontal="center" vertical="center"/>
    </xf>
    <xf numFmtId="9" fontId="47" fillId="5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0" fillId="0" borderId="0" xfId="0" applyFont="1" applyAlignment="1">
      <alignment horizontal="center" vertical="center"/>
    </xf>
    <xf numFmtId="0" fontId="22" fillId="12" borderId="4" xfId="0" applyFont="1" applyFill="1" applyBorder="1" applyAlignment="1" applyProtection="1">
      <alignment horizontal="center" vertical="center"/>
      <protection locked="0"/>
    </xf>
    <xf numFmtId="177" fontId="15" fillId="12" borderId="3" xfId="0" applyNumberFormat="1" applyFont="1" applyFill="1" applyBorder="1" applyAlignment="1" applyProtection="1">
      <alignment horizontal="center" vertical="center"/>
      <protection locked="0"/>
    </xf>
    <xf numFmtId="0" fontId="15" fillId="12" borderId="3" xfId="0" applyFont="1" applyFill="1" applyBorder="1" applyAlignment="1" applyProtection="1">
      <alignment horizontal="center" vertical="center"/>
      <protection locked="0"/>
    </xf>
    <xf numFmtId="0" fontId="22" fillId="12" borderId="4" xfId="0" applyFont="1" applyFill="1" applyBorder="1" applyAlignment="1">
      <alignment horizontal="center" vertical="center"/>
    </xf>
    <xf numFmtId="0" fontId="17" fillId="12" borderId="4" xfId="0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51" fillId="0" borderId="3" xfId="5" applyFont="1" applyBorder="1" applyAlignment="1" applyProtection="1">
      <alignment horizontal="center" vertical="center"/>
      <protection locked="0"/>
    </xf>
    <xf numFmtId="0" fontId="52" fillId="0" borderId="4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3" fillId="0" borderId="0" xfId="0" applyFont="1" applyAlignment="1" applyProtection="1">
      <alignment horizontal="left" vertical="center" indent="1"/>
      <protection locked="0"/>
    </xf>
    <xf numFmtId="0" fontId="54" fillId="0" borderId="3" xfId="5" applyFont="1" applyBorder="1" applyAlignment="1" applyProtection="1">
      <alignment horizontal="center" vertical="center"/>
      <protection locked="0"/>
    </xf>
    <xf numFmtId="0" fontId="53" fillId="0" borderId="3" xfId="0" applyFont="1" applyBorder="1" applyAlignment="1" applyProtection="1">
      <alignment horizontal="center" vertical="center"/>
      <protection locked="0"/>
    </xf>
    <xf numFmtId="177" fontId="52" fillId="0" borderId="3" xfId="0" applyNumberFormat="1" applyFont="1" applyBorder="1" applyAlignment="1" applyProtection="1">
      <alignment horizontal="center" vertical="center"/>
      <protection locked="0"/>
    </xf>
    <xf numFmtId="0" fontId="52" fillId="0" borderId="3" xfId="0" applyFont="1" applyBorder="1" applyAlignment="1" applyProtection="1">
      <alignment horizontal="center" vertical="center"/>
      <protection locked="0"/>
    </xf>
    <xf numFmtId="9" fontId="55" fillId="0" borderId="3" xfId="1" applyFont="1" applyBorder="1" applyAlignment="1" applyProtection="1">
      <alignment horizontal="center" vertical="center"/>
      <protection locked="0"/>
    </xf>
    <xf numFmtId="0" fontId="52" fillId="0" borderId="4" xfId="0" applyFont="1" applyBorder="1" applyAlignment="1" applyProtection="1">
      <alignment horizontal="center" vertical="center"/>
      <protection locked="0"/>
    </xf>
    <xf numFmtId="0" fontId="52" fillId="0" borderId="9" xfId="0" applyFont="1" applyBorder="1" applyAlignment="1">
      <alignment horizontal="center" vertical="center"/>
    </xf>
    <xf numFmtId="0" fontId="52" fillId="0" borderId="0" xfId="0" applyFont="1" applyAlignment="1" applyProtection="1">
      <alignment horizontal="center" vertical="center"/>
      <protection locked="0"/>
    </xf>
    <xf numFmtId="9" fontId="55" fillId="0" borderId="0" xfId="1" applyFont="1" applyAlignment="1" applyProtection="1">
      <alignment horizontal="center" vertical="center"/>
      <protection locked="0"/>
    </xf>
    <xf numFmtId="177" fontId="52" fillId="0" borderId="0" xfId="0" applyNumberFormat="1" applyFont="1" applyAlignment="1" applyProtection="1">
      <alignment horizontal="center" vertical="center"/>
      <protection locked="0"/>
    </xf>
    <xf numFmtId="0" fontId="1" fillId="0" borderId="21" xfId="6" applyBorder="1" applyAlignment="1">
      <alignment horizontal="center" vertical="center"/>
    </xf>
    <xf numFmtId="0" fontId="1" fillId="0" borderId="21" xfId="6" applyBorder="1" applyAlignment="1">
      <alignment vertical="center" wrapText="1"/>
    </xf>
    <xf numFmtId="0" fontId="31" fillId="0" borderId="21" xfId="6" applyFont="1" applyBorder="1" applyAlignment="1">
      <alignment vertical="center" wrapText="1"/>
    </xf>
    <xf numFmtId="179" fontId="1" fillId="0" borderId="21" xfId="6" applyNumberFormat="1" applyBorder="1" applyAlignment="1">
      <alignment horizontal="center" vertical="center"/>
    </xf>
    <xf numFmtId="0" fontId="1" fillId="0" borderId="21" xfId="6" applyBorder="1">
      <alignment vertical="center"/>
    </xf>
    <xf numFmtId="0" fontId="1" fillId="0" borderId="21" xfId="6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0" fillId="0" borderId="0" xfId="0" applyAlignment="1"/>
    <xf numFmtId="0" fontId="9" fillId="4" borderId="0" xfId="0" applyFont="1" applyFill="1" applyAlignment="1">
      <alignment horizontal="left" vertical="center"/>
    </xf>
    <xf numFmtId="14" fontId="21" fillId="0" borderId="10" xfId="0" applyNumberFormat="1" applyFont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>
      <alignment horizontal="center" vertical="center"/>
    </xf>
    <xf numFmtId="177" fontId="22" fillId="0" borderId="10" xfId="0" applyNumberFormat="1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right" vertical="center" wrapText="1"/>
    </xf>
    <xf numFmtId="0" fontId="0" fillId="0" borderId="23" xfId="0" applyBorder="1" applyAlignment="1">
      <alignment horizontal="right" vertical="center"/>
    </xf>
    <xf numFmtId="0" fontId="0" fillId="0" borderId="23" xfId="0" applyBorder="1" applyAlignment="1">
      <alignment horizontal="right" vertical="center" wrapText="1"/>
    </xf>
    <xf numFmtId="0" fontId="29" fillId="0" borderId="31" xfId="0" applyFont="1" applyBorder="1" applyAlignment="1">
      <alignment horizontal="center" vertical="center" wrapText="1"/>
    </xf>
    <xf numFmtId="0" fontId="29" fillId="0" borderId="19" xfId="0" applyFont="1" applyBorder="1" applyAlignment="1">
      <alignment horizontal="center" vertical="center" wrapText="1"/>
    </xf>
  </cellXfs>
  <cellStyles count="6">
    <cellStyle name="Normal" xfId="4" xr:uid="{479FFB47-A982-47B0-9CF1-9B3CD4CB1C42}"/>
    <cellStyle name="Normal 2" xfId="3" xr:uid="{00000000-0005-0000-0000-000002000000}"/>
    <cellStyle name="백분율" xfId="1" builtinId="5"/>
    <cellStyle name="표준" xfId="0" builtinId="0"/>
    <cellStyle name="표준 2" xfId="6" xr:uid="{B5C74AAF-FEE7-44E1-9A2C-486A0364E810}"/>
    <cellStyle name="하이퍼링크" xfId="5" builtinId="8"/>
  </cellStyles>
  <dxfs count="88"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ill>
        <patternFill>
          <bgColor rgb="FFFFF3CD"/>
        </patternFill>
      </fill>
    </dxf>
    <dxf>
      <fill>
        <patternFill>
          <bgColor rgb="FFFEC306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DFDFDF"/>
        </patternFill>
      </fill>
    </dxf>
    <dxf>
      <fill>
        <patternFill>
          <bgColor rgb="FF5E5E5E"/>
        </patternFill>
      </fill>
    </dxf>
    <dxf>
      <font>
        <color rgb="FFDF5327"/>
      </font>
    </dxf>
    <dxf>
      <font>
        <color rgb="FF0070C0"/>
      </font>
    </dxf>
    <dxf>
      <fill>
        <patternFill>
          <bgColor rgb="FFF2F2F2"/>
        </patternFill>
      </fill>
      <border>
        <left style="thin">
          <color rgb="FF5E5E5E"/>
        </left>
        <right style="thin">
          <color rgb="FF5E5E5E"/>
        </right>
        <top/>
        <vertical/>
        <horizontal/>
      </border>
    </dxf>
    <dxf>
      <border>
        <left/>
        <right/>
        <top style="thin">
          <color rgb="FFA6B727"/>
        </top>
        <bottom style="thin">
          <color rgb="FFA6B727"/>
        </bottom>
        <vertical/>
        <horizontal/>
      </border>
    </dxf>
    <dxf>
      <font>
        <color rgb="FFFF0000"/>
      </font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ill>
        <patternFill>
          <bgColor rgb="FFFFF3CD"/>
        </patternFill>
      </fill>
    </dxf>
    <dxf>
      <fill>
        <patternFill>
          <bgColor rgb="FFFEC306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DFDFDF"/>
        </patternFill>
      </fill>
    </dxf>
    <dxf>
      <fill>
        <patternFill>
          <bgColor rgb="FF5E5E5E"/>
        </patternFill>
      </fill>
    </dxf>
    <dxf>
      <font>
        <color rgb="FFDF5327"/>
      </font>
    </dxf>
    <dxf>
      <font>
        <color rgb="FF0070C0"/>
      </font>
    </dxf>
    <dxf>
      <fill>
        <patternFill>
          <bgColor rgb="FFF2F2F2"/>
        </patternFill>
      </fill>
      <border>
        <left style="thin">
          <color rgb="FF5E5E5E"/>
        </left>
        <right style="thin">
          <color rgb="FF5E5E5E"/>
        </right>
        <top/>
        <vertical/>
        <horizontal/>
      </border>
    </dxf>
    <dxf>
      <border>
        <left/>
        <right/>
        <top style="thin">
          <color rgb="FFA6B727"/>
        </top>
        <bottom style="thin">
          <color rgb="FFA6B727"/>
        </bottom>
        <vertical/>
        <horizontal/>
      </border>
    </dxf>
    <dxf>
      <font>
        <color rgb="FFFF0000"/>
      </font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ill>
        <patternFill patternType="solid">
          <fgColor rgb="FF262626"/>
          <bgColor rgb="FFD9D9D9"/>
        </patternFill>
      </fill>
    </dxf>
    <dxf>
      <fill>
        <patternFill>
          <bgColor rgb="FFFFF3CD"/>
        </patternFill>
      </fill>
    </dxf>
    <dxf>
      <fill>
        <patternFill>
          <bgColor rgb="FFFEC306"/>
        </patternFill>
      </fill>
    </dxf>
    <dxf>
      <fill>
        <patternFill>
          <bgColor rgb="FFFEC306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FFF3CD"/>
        </patternFill>
      </fill>
    </dxf>
    <dxf>
      <fill>
        <patternFill>
          <bgColor rgb="FFFEC306"/>
        </patternFill>
      </fill>
    </dxf>
    <dxf>
      <fill>
        <patternFill>
          <bgColor rgb="FFFFF3CD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DFDFDF"/>
        </patternFill>
      </fill>
    </dxf>
    <dxf>
      <fill>
        <patternFill>
          <bgColor rgb="FF5E5E5E"/>
        </patternFill>
      </fill>
    </dxf>
    <dxf>
      <font>
        <color rgb="FFDF5327"/>
      </font>
    </dxf>
    <dxf>
      <font>
        <color rgb="FF0070C0"/>
      </font>
    </dxf>
    <dxf>
      <fill>
        <patternFill>
          <bgColor rgb="FFF2F2F2"/>
        </patternFill>
      </fill>
      <border>
        <left style="thin">
          <color rgb="FF5E5E5E"/>
        </left>
        <right style="thin">
          <color rgb="FF5E5E5E"/>
        </right>
        <top/>
        <vertical/>
        <horizontal/>
      </border>
    </dxf>
    <dxf>
      <border>
        <left/>
        <right/>
        <top style="thin">
          <color rgb="FFA6B727"/>
        </top>
        <bottom style="thin">
          <color rgb="FFA6B727"/>
        </bottom>
        <vertical/>
        <horizontal/>
      </border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ill>
        <patternFill>
          <bgColor rgb="FFFFF3CD"/>
        </patternFill>
      </fill>
    </dxf>
    <dxf>
      <fill>
        <patternFill>
          <bgColor rgb="FFFEC306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DFDFDF"/>
        </patternFill>
      </fill>
    </dxf>
    <dxf>
      <fill>
        <patternFill>
          <bgColor rgb="FF5E5E5E"/>
        </patternFill>
      </fill>
    </dxf>
    <dxf>
      <font>
        <color rgb="FFDF5327"/>
      </font>
    </dxf>
    <dxf>
      <font>
        <color rgb="FF0070C0"/>
      </font>
    </dxf>
    <dxf>
      <fill>
        <patternFill>
          <bgColor rgb="FFF2F2F2"/>
        </patternFill>
      </fill>
      <border>
        <left style="thin">
          <color rgb="FF5E5E5E"/>
        </left>
        <right style="thin">
          <color rgb="FF5E5E5E"/>
        </right>
        <top/>
        <vertical/>
        <horizontal/>
      </border>
    </dxf>
    <dxf>
      <border>
        <left/>
        <right/>
        <top style="thin">
          <color rgb="FFA6B727"/>
        </top>
        <bottom style="thin">
          <color rgb="FFA6B727"/>
        </bottom>
        <vertical/>
        <horizontal/>
      </border>
    </dxf>
    <dxf>
      <font>
        <color rgb="FFFF0000"/>
      </font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ill>
        <patternFill patternType="solid">
          <fgColor rgb="FF262626"/>
          <bgColor rgb="FFD9D9D9"/>
        </patternFill>
      </fill>
    </dxf>
    <dxf>
      <fill>
        <patternFill>
          <bgColor rgb="FFFFF3CD"/>
        </patternFill>
      </fill>
    </dxf>
    <dxf>
      <fill>
        <patternFill>
          <bgColor rgb="FFFEC306"/>
        </patternFill>
      </fill>
    </dxf>
    <dxf>
      <fill>
        <patternFill>
          <bgColor rgb="FFFFF3CD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DFDFDF"/>
        </patternFill>
      </fill>
    </dxf>
    <dxf>
      <fill>
        <patternFill>
          <bgColor rgb="FF5E5E5E"/>
        </patternFill>
      </fill>
    </dxf>
    <dxf>
      <font>
        <color rgb="FFDF5327"/>
      </font>
    </dxf>
    <dxf>
      <font>
        <color rgb="FF0070C0"/>
      </font>
    </dxf>
    <dxf>
      <fill>
        <patternFill>
          <bgColor rgb="FFF2F2F2"/>
        </patternFill>
      </fill>
      <border>
        <left style="thin">
          <color rgb="FF5E5E5E"/>
        </left>
        <right style="thin">
          <color rgb="FF5E5E5E"/>
        </right>
        <top/>
        <vertical/>
        <horizontal/>
      </border>
    </dxf>
    <dxf>
      <border>
        <left/>
        <right/>
        <top style="thin">
          <color rgb="FFA6B727"/>
        </top>
        <bottom style="thin">
          <color rgb="FFA6B727"/>
        </bottom>
        <vertical/>
        <horizontal/>
      </border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ont>
        <color rgb="FFFF0000"/>
      </font>
    </dxf>
    <dxf>
      <font>
        <color rgb="FFFF0000"/>
      </font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ill>
        <patternFill>
          <bgColor rgb="FFFEC306"/>
        </patternFill>
      </fill>
    </dxf>
    <dxf>
      <fill>
        <patternFill>
          <bgColor rgb="FFFFF3CD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FEC306"/>
        </patternFill>
      </fill>
    </dxf>
    <dxf>
      <fill>
        <patternFill>
          <bgColor rgb="FFFFF3CD"/>
        </patternFill>
      </fill>
    </dxf>
    <dxf>
      <fill>
        <patternFill patternType="solid">
          <fgColor rgb="FF262626"/>
          <bgColor rgb="FFD9D9D9"/>
        </patternFill>
      </fill>
    </dxf>
    <dxf>
      <fill>
        <patternFill>
          <bgColor rgb="FFDFDFDF"/>
        </patternFill>
      </fill>
    </dxf>
    <dxf>
      <fill>
        <patternFill>
          <bgColor rgb="FF5E5E5E"/>
        </patternFill>
      </fill>
    </dxf>
    <dxf>
      <font>
        <color rgb="FFDF5327"/>
      </font>
    </dxf>
    <dxf>
      <font>
        <color rgb="FF0070C0"/>
      </font>
    </dxf>
    <dxf>
      <fill>
        <patternFill>
          <bgColor rgb="FFF2F2F2"/>
        </patternFill>
      </fill>
      <border>
        <left style="thin">
          <color rgb="FF5E5E5E"/>
        </left>
        <right style="thin">
          <color rgb="FF5E5E5E"/>
        </right>
        <top/>
        <vertical/>
        <horizontal/>
      </border>
    </dxf>
    <dxf>
      <border>
        <left/>
        <right/>
        <top style="thin">
          <color rgb="FFA6B727"/>
        </top>
        <bottom style="thin">
          <color rgb="FFA6B727"/>
        </bottom>
        <vertical/>
        <horizontal/>
      </border>
    </dxf>
    <dxf>
      <fill>
        <patternFill patternType="none">
          <fgColor auto="1"/>
          <bgColor auto="1"/>
        </patternFill>
      </fill>
      <border>
        <left style="thin">
          <color rgb="FF5E5E5E"/>
        </left>
        <right style="thin">
          <color rgb="FF5E5E5E"/>
        </right>
        <vertical/>
        <horizontal/>
      </border>
    </dxf>
    <dxf>
      <font>
        <color rgb="FFFF0000"/>
      </font>
    </dxf>
    <dxf>
      <font>
        <color rgb="FFFF0000"/>
      </font>
    </dxf>
    <dxf>
      <font>
        <b/>
        <color rgb="FFFFFFFF"/>
      </font>
      <fill>
        <patternFill patternType="solid">
          <fgColor rgb="FFFFC7CE"/>
          <bgColor rgb="FFFFC7CE"/>
        </patternFill>
      </fill>
    </dxf>
    <dxf>
      <font>
        <b/>
        <color rgb="FF000000"/>
      </font>
      <fill>
        <patternFill patternType="solid">
          <fgColor rgb="FFFFD7B5"/>
          <bgColor rgb="FFFFD7B5"/>
        </patternFill>
      </fill>
    </dxf>
    <dxf>
      <font>
        <b/>
        <color rgb="FF000000"/>
      </font>
      <fill>
        <patternFill patternType="solid">
          <fgColor rgb="FFFFEB9C"/>
          <bgColor rgb="FFFFEB9C"/>
        </patternFill>
      </fill>
    </dxf>
    <dxf>
      <font>
        <b/>
        <color rgb="FF0000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16</xdr:row>
      <xdr:rowOff>38100</xdr:rowOff>
    </xdr:from>
    <xdr:to>
      <xdr:col>7</xdr:col>
      <xdr:colOff>472440</xdr:colOff>
      <xdr:row>37</xdr:row>
      <xdr:rowOff>53340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2B6893B5-8334-417E-DE5B-FBEB0EEDADB4}"/>
            </a:ext>
          </a:extLst>
        </xdr:cNvPr>
        <xdr:cNvGrpSpPr/>
      </xdr:nvGrpSpPr>
      <xdr:grpSpPr>
        <a:xfrm>
          <a:off x="259080" y="5534025"/>
          <a:ext cx="9500235" cy="4415790"/>
          <a:chOff x="7368540" y="5684520"/>
          <a:chExt cx="9022080" cy="4655820"/>
        </a:xfrm>
      </xdr:grpSpPr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15A657F7-0249-A516-7167-8FD854650B7F}"/>
              </a:ext>
            </a:extLst>
          </xdr:cNvPr>
          <xdr:cNvSpPr txBox="1"/>
        </xdr:nvSpPr>
        <xdr:spPr>
          <a:xfrm>
            <a:off x="7368540" y="5684520"/>
            <a:ext cx="9022080" cy="465582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1100"/>
              <a:t>프로젝트일정 총괄표는 프로젝트 일정을 한눈에 보기 위함임</a:t>
            </a:r>
            <a:endParaRPr lang="en-US" altLang="ko-KR" sz="1100"/>
          </a:p>
          <a:p>
            <a:endParaRPr lang="en-US" altLang="ko-KR" sz="1100"/>
          </a:p>
          <a:p>
            <a:r>
              <a:rPr lang="ko-KR" altLang="en-US" sz="1100"/>
              <a:t>각 프로젝트별 일정표는 세부 일정 관리를 위한 일정표이며 시작일 종료일 기준으로 진행률을 확인할 수 있습니다</a:t>
            </a:r>
            <a:r>
              <a:rPr lang="en-US" altLang="ko-KR" sz="1100"/>
              <a:t>.</a:t>
            </a:r>
          </a:p>
          <a:p>
            <a:r>
              <a:rPr lang="ko-KR" altLang="en-US" sz="1100"/>
              <a:t>기간지연부분은 잔여일수로 확인가능합니다</a:t>
            </a:r>
            <a:r>
              <a:rPr lang="en-US" altLang="ko-KR" sz="1100"/>
              <a:t>.</a:t>
            </a:r>
          </a:p>
          <a:p>
            <a:endParaRPr lang="en-US" altLang="ko-KR" sz="1100"/>
          </a:p>
        </xdr:txBody>
      </xdr:sp>
      <xdr:pic>
        <xdr:nvPicPr>
          <xdr:cNvPr id="7" name="그림 6">
            <a:extLst>
              <a:ext uri="{FF2B5EF4-FFF2-40B4-BE49-F238E27FC236}">
                <a16:creationId xmlns:a16="http://schemas.microsoft.com/office/drawing/2014/main" id="{DF829F0A-0CC2-2C25-8DCE-69A2F64FB6D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734301" y="6774180"/>
            <a:ext cx="7040534" cy="3230879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6</xdr:row>
      <xdr:rowOff>129540</xdr:rowOff>
    </xdr:from>
    <xdr:to>
      <xdr:col>7</xdr:col>
      <xdr:colOff>601980</xdr:colOff>
      <xdr:row>7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4914900" y="1821180"/>
          <a:ext cx="211074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B0F0"/>
              </a:solidFill>
            </a:rPr>
            <a:t>(</a:t>
          </a:r>
          <a:r>
            <a:rPr lang="ko-KR" altLang="en-US" sz="1100">
              <a:solidFill>
                <a:srgbClr val="00B0F0"/>
              </a:solidFill>
            </a:rPr>
            <a:t>글자색 청색만 수정해 주세요</a:t>
          </a:r>
          <a:r>
            <a:rPr lang="en-US" altLang="ko-KR" sz="1100">
              <a:solidFill>
                <a:srgbClr val="00B0F0"/>
              </a:solidFill>
            </a:rPr>
            <a:t>.)</a:t>
          </a:r>
          <a:endParaRPr lang="ko-KR" altLang="en-US" sz="1100">
            <a:solidFill>
              <a:srgbClr val="00B0F0"/>
            </a:solidFill>
          </a:endParaRP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6</xdr:row>
      <xdr:rowOff>129540</xdr:rowOff>
    </xdr:from>
    <xdr:to>
      <xdr:col>7</xdr:col>
      <xdr:colOff>601980</xdr:colOff>
      <xdr:row>7</xdr:row>
      <xdr:rowOff>99060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335780" y="1821180"/>
          <a:ext cx="211074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B0F0"/>
              </a:solidFill>
            </a:rPr>
            <a:t>(</a:t>
          </a:r>
          <a:r>
            <a:rPr lang="ko-KR" altLang="en-US" sz="1100">
              <a:solidFill>
                <a:srgbClr val="00B0F0"/>
              </a:solidFill>
            </a:rPr>
            <a:t>글자색 청색만 수정해 주세요</a:t>
          </a:r>
          <a:r>
            <a:rPr lang="en-US" altLang="ko-KR" sz="1100">
              <a:solidFill>
                <a:srgbClr val="00B0F0"/>
              </a:solidFill>
            </a:rPr>
            <a:t>.)</a:t>
          </a:r>
          <a:endParaRPr lang="ko-KR" altLang="en-US" sz="1100">
            <a:solidFill>
              <a:srgbClr val="00B0F0"/>
            </a:solidFill>
          </a:endParaRP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6</xdr:row>
      <xdr:rowOff>129540</xdr:rowOff>
    </xdr:from>
    <xdr:to>
      <xdr:col>7</xdr:col>
      <xdr:colOff>601980</xdr:colOff>
      <xdr:row>7</xdr:row>
      <xdr:rowOff>99060</xdr:rowOff>
    </xdr:to>
    <xdr:sp macro="" textlink="">
      <xdr:nvSpPr>
        <xdr:cNvPr id="2" name="가로 글상자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914900" y="1821180"/>
          <a:ext cx="211074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B0F0"/>
              </a:solidFill>
            </a:rPr>
            <a:t>(</a:t>
          </a:r>
          <a:r>
            <a:rPr lang="ko-KR" altLang="en-US" sz="1100">
              <a:solidFill>
                <a:srgbClr val="00B0F0"/>
              </a:solidFill>
            </a:rPr>
            <a:t>글자색 청색만 수정해 주세요</a:t>
          </a:r>
          <a:r>
            <a:rPr lang="en-US" altLang="ko-KR" sz="1100">
              <a:solidFill>
                <a:srgbClr val="00B0F0"/>
              </a:solidFill>
            </a:rPr>
            <a:t>.)</a:t>
          </a:r>
          <a:endParaRPr lang="ko-KR" altLang="en-US" sz="1100">
            <a:solidFill>
              <a:srgbClr val="00B0F0"/>
            </a:solidFill>
          </a:endParaRP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6</xdr:row>
      <xdr:rowOff>129540</xdr:rowOff>
    </xdr:from>
    <xdr:to>
      <xdr:col>7</xdr:col>
      <xdr:colOff>601980</xdr:colOff>
      <xdr:row>7</xdr:row>
      <xdr:rowOff>99060</xdr:rowOff>
    </xdr:to>
    <xdr:sp macro="" textlink="">
      <xdr:nvSpPr>
        <xdr:cNvPr id="2" name="가로 글상자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4914900" y="1821180"/>
          <a:ext cx="211074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B0F0"/>
              </a:solidFill>
            </a:rPr>
            <a:t>(</a:t>
          </a:r>
          <a:r>
            <a:rPr lang="ko-KR" altLang="en-US" sz="1100">
              <a:solidFill>
                <a:srgbClr val="00B0F0"/>
              </a:solidFill>
            </a:rPr>
            <a:t>글자색 청색만 수정해 주세요</a:t>
          </a:r>
          <a:r>
            <a:rPr lang="en-US" altLang="ko-KR" sz="1100">
              <a:solidFill>
                <a:srgbClr val="00B0F0"/>
              </a:solidFill>
            </a:rPr>
            <a:t>.)</a:t>
          </a:r>
          <a:endParaRPr lang="ko-KR" altLang="en-US" sz="1100">
            <a:solidFill>
              <a:srgbClr val="00B0F0"/>
            </a:solidFill>
          </a:endParaRP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6</xdr:row>
      <xdr:rowOff>129540</xdr:rowOff>
    </xdr:from>
    <xdr:to>
      <xdr:col>7</xdr:col>
      <xdr:colOff>601980</xdr:colOff>
      <xdr:row>7</xdr:row>
      <xdr:rowOff>99060</xdr:rowOff>
    </xdr:to>
    <xdr:sp macro="" textlink="">
      <xdr:nvSpPr>
        <xdr:cNvPr id="2" name="가로 글상자 1">
          <a:extLst>
            <a:ext uri="{FF2B5EF4-FFF2-40B4-BE49-F238E27FC236}">
              <a16:creationId xmlns:a16="http://schemas.microsoft.com/office/drawing/2014/main" id="{04CAE3D7-1774-49E8-840C-4A8CAFA6644F}"/>
            </a:ext>
          </a:extLst>
        </xdr:cNvPr>
        <xdr:cNvSpPr txBox="1"/>
      </xdr:nvSpPr>
      <xdr:spPr>
        <a:xfrm>
          <a:off x="4912995" y="1758315"/>
          <a:ext cx="2108835" cy="2838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B0F0"/>
              </a:solidFill>
            </a:rPr>
            <a:t>(</a:t>
          </a:r>
          <a:r>
            <a:rPr lang="ko-KR" altLang="en-US" sz="1100">
              <a:solidFill>
                <a:srgbClr val="00B0F0"/>
              </a:solidFill>
            </a:rPr>
            <a:t>글자색 청색만 수정해 주세요</a:t>
          </a:r>
          <a:r>
            <a:rPr lang="en-US" altLang="ko-KR" sz="1100">
              <a:solidFill>
                <a:srgbClr val="00B0F0"/>
              </a:solidFill>
            </a:rPr>
            <a:t>.)</a:t>
          </a:r>
          <a:endParaRPr lang="ko-KR" altLang="en-US" sz="1100">
            <a:solidFill>
              <a:srgbClr val="00B0F0"/>
            </a:solidFill>
          </a:endParaRP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426720</xdr:colOff>
      <xdr:row>6</xdr:row>
      <xdr:rowOff>129540</xdr:rowOff>
    </xdr:from>
    <xdr:to>
      <xdr:col>7</xdr:col>
      <xdr:colOff>601980</xdr:colOff>
      <xdr:row>7</xdr:row>
      <xdr:rowOff>99060</xdr:rowOff>
    </xdr:to>
    <xdr:sp macro="" textlink="">
      <xdr:nvSpPr>
        <xdr:cNvPr id="2" name="가로 글상자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4914900" y="1821180"/>
          <a:ext cx="2110740" cy="289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>
              <a:solidFill>
                <a:srgbClr val="00B0F0"/>
              </a:solidFill>
            </a:rPr>
            <a:t>(</a:t>
          </a:r>
          <a:r>
            <a:rPr lang="ko-KR" altLang="en-US" sz="1100">
              <a:solidFill>
                <a:srgbClr val="00B0F0"/>
              </a:solidFill>
            </a:rPr>
            <a:t>글자색 청색만 수정해 주세요</a:t>
          </a:r>
          <a:r>
            <a:rPr lang="en-US" altLang="ko-KR" sz="1100">
              <a:solidFill>
                <a:srgbClr val="00B0F0"/>
              </a:solidFill>
            </a:rPr>
            <a:t>.)</a:t>
          </a:r>
          <a:endParaRPr lang="ko-KR" altLang="en-US" sz="1100">
            <a:solidFill>
              <a:srgbClr val="00B0F0"/>
            </a:solidFill>
          </a:endParaRP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Office Theme">
  <a:themeElements>
    <a:clrScheme name="움직이는 텍스트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2.vml"/><Relationship Id="rId3" Type="http://schemas.openxmlformats.org/officeDocument/2006/relationships/hyperlink" Target="../../../../:x:/p/leewoowon95/IQCge7QG_F_ZSLdOARR6INmHAVgsnr9uVBrZynyPKpw9LBg?e=EvDgpX" TargetMode="External"/><Relationship Id="rId7" Type="http://schemas.openxmlformats.org/officeDocument/2006/relationships/drawing" Target="../drawings/drawing3.xml"/><Relationship Id="rId2" Type="http://schemas.openxmlformats.org/officeDocument/2006/relationships/hyperlink" Target="../../../../:x:/p/leewoowon95/IQCge7QG_F_ZSLdOARR6INmHAVgsnr9uVBrZynyPKpw9LBg?e=EvDgpX" TargetMode="External"/><Relationship Id="rId1" Type="http://schemas.openxmlformats.org/officeDocument/2006/relationships/hyperlink" Target="../../../../:x:/p/leewoowon95/IQCge7QG_F_ZSLdOARR6INmHAVgsnr9uVBrZynyPKpw9LBg?e=EvDgpX" TargetMode="External"/><Relationship Id="rId6" Type="http://schemas.openxmlformats.org/officeDocument/2006/relationships/hyperlink" Target="../../../../:x:/p/leewoowon95/IQCge7QG_F_ZSLdOARR6INmHAVgsnr9uVBrZynyPKpw9LBg?e=EvDgpX" TargetMode="External"/><Relationship Id="rId5" Type="http://schemas.openxmlformats.org/officeDocument/2006/relationships/hyperlink" Target="../../../../:x:/p/leewoowon95/IQCge7QG_F_ZSLdOARR6INmHAVgsnr9uVBrZynyPKpw9LBg?e=EvDgpX" TargetMode="External"/><Relationship Id="rId4" Type="http://schemas.openxmlformats.org/officeDocument/2006/relationships/hyperlink" Target="../../../../:x:/p/leewoowon95/IQCge7QG_F_ZSLdOARR6INmHAVgsnr9uVBrZynyPKpw9LBg?e=EvDgpX" TargetMode="External"/><Relationship Id="rId9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17"/>
  <sheetViews>
    <sheetView zoomScaleNormal="75" zoomScaleSheetLayoutView="100" workbookViewId="0">
      <selection activeCell="B13" sqref="B13:B15"/>
    </sheetView>
  </sheetViews>
  <sheetFormatPr defaultColWidth="8.75" defaultRowHeight="16.5"/>
  <cols>
    <col min="1" max="1" width="8.75" style="107" bestFit="1" customWidth="1"/>
    <col min="2" max="2" width="36.875" style="107" customWidth="1"/>
    <col min="3" max="3" width="15.25" style="107" customWidth="1"/>
    <col min="4" max="5" width="15.25" style="115" customWidth="1"/>
    <col min="6" max="6" width="15.25" style="116" customWidth="1"/>
    <col min="7" max="7" width="15.25" style="117" customWidth="1"/>
    <col min="8" max="8" width="16.25" style="117" customWidth="1"/>
    <col min="9" max="16384" width="8.75" style="117"/>
  </cols>
  <sheetData>
    <row r="1" spans="1:8" s="107" customFormat="1" ht="28.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06" t="s">
        <v>7</v>
      </c>
    </row>
    <row r="2" spans="1:8" s="112" customFormat="1" ht="28.15" customHeight="1">
      <c r="A2" s="2">
        <v>1</v>
      </c>
      <c r="B2" s="189" t="s">
        <v>8</v>
      </c>
      <c r="C2" t="s">
        <v>9</v>
      </c>
      <c r="D2" s="118">
        <f>'1.킨트_SS_BAP'!F10</f>
        <v>46033</v>
      </c>
      <c r="E2">
        <f>'1.킨트_SS_BAP'!G10</f>
        <v>46058</v>
      </c>
      <c r="F2">
        <v>1</v>
      </c>
      <c r="G2">
        <f>'1.킨트_SS_BAP'!I10</f>
        <v>0.59523809523809523</v>
      </c>
      <c r="H2" s="109" t="str">
        <f>IF(G2&gt;=F2,"정상",IF((F2-G2)&gt;=0.5,"위험",IF((F2-G2)&gt;=0.3,"주의","경고")))</f>
        <v>주의</v>
      </c>
    </row>
    <row r="3" spans="1:8" s="112" customFormat="1" ht="28.15" customHeight="1">
      <c r="A3" s="189"/>
      <c r="B3" s="189"/>
      <c r="C3" t="s">
        <v>10</v>
      </c>
      <c r="D3" s="113">
        <f>'1.킨트_SS_BAP'!F17</f>
        <v>46031</v>
      </c>
      <c r="E3" s="113">
        <f>'1.킨트_SS_BAP'!G17</f>
        <v>46072</v>
      </c>
      <c r="F3">
        <v>1</v>
      </c>
      <c r="G3" s="114">
        <f>'1.킨트_SS_BAP'!I17</f>
        <v>0.27906976744186046</v>
      </c>
      <c r="H3" s="109" t="str">
        <f t="shared" ref="H3:H15" si="0">IF(G3&gt;=F3,"정상",IF((F3-G3)&gt;=0.5,"위험",IF((F3-G3)&gt;=0.3,"주의","경고")))</f>
        <v>위험</v>
      </c>
    </row>
    <row r="4" spans="1:8" s="112" customFormat="1" ht="28.15" customHeight="1">
      <c r="A4" s="189">
        <v>2</v>
      </c>
      <c r="B4" s="189" t="s">
        <v>11</v>
      </c>
      <c r="C4" t="s">
        <v>9</v>
      </c>
      <c r="D4" s="113">
        <f>'2.10kWFC_배터리팩'!F10</f>
        <v>46015</v>
      </c>
      <c r="E4" s="113">
        <f>'2.10kWFC_배터리팩'!G10</f>
        <v>46083</v>
      </c>
      <c r="F4">
        <v>1</v>
      </c>
      <c r="G4" s="114">
        <f>'2.10kWFC_배터리팩'!I10</f>
        <v>0.90909090909090906</v>
      </c>
      <c r="H4" s="109" t="str">
        <f t="shared" si="0"/>
        <v>경고</v>
      </c>
    </row>
    <row r="5" spans="1:8" s="112" customFormat="1" ht="28.15" customHeight="1">
      <c r="A5" s="189"/>
      <c r="B5" s="189"/>
      <c r="C5" t="s">
        <v>10</v>
      </c>
      <c r="D5" s="113">
        <f>'2.10kWFC_배터리팩'!F17</f>
        <v>46015</v>
      </c>
      <c r="E5" s="113">
        <f>'2.10kWFC_배터리팩'!G17</f>
        <v>46038</v>
      </c>
      <c r="F5">
        <v>1</v>
      </c>
      <c r="G5" s="114">
        <f>'2.10kWFC_배터리팩'!I17</f>
        <v>0.76086956521739135</v>
      </c>
      <c r="H5" s="109" t="str">
        <f t="shared" si="0"/>
        <v>경고</v>
      </c>
    </row>
    <row r="6" spans="1:8" s="112" customFormat="1" ht="28.15" customHeight="1">
      <c r="A6" s="189"/>
      <c r="B6" s="189"/>
      <c r="C6" t="s">
        <v>12</v>
      </c>
      <c r="D6" s="113">
        <f>'2.10kWFC_배터리팩'!F24</f>
        <v>46038</v>
      </c>
      <c r="E6" s="113">
        <f>'2.10kWFC_배터리팩'!G24</f>
        <v>46394</v>
      </c>
      <c r="F6">
        <v>1</v>
      </c>
      <c r="G6" s="114">
        <f>'2.10kWFC_배터리팩'!I24</f>
        <v>0.72184210526315795</v>
      </c>
      <c r="H6" s="109" t="str">
        <f t="shared" si="0"/>
        <v>경고</v>
      </c>
    </row>
    <row r="7" spans="1:8" s="112" customFormat="1" ht="28.15" customHeight="1">
      <c r="A7" s="189">
        <v>3</v>
      </c>
      <c r="B7" s="189" t="s">
        <v>13</v>
      </c>
      <c r="C7" t="s">
        <v>9</v>
      </c>
      <c r="D7" s="113">
        <f>'3.항만용AGV충전기'!F10</f>
        <v>46023</v>
      </c>
      <c r="E7" s="113">
        <f>'3.항만용AGV충전기'!G10</f>
        <v>46045</v>
      </c>
      <c r="F7">
        <v>1</v>
      </c>
      <c r="G7" s="114">
        <f>'3.항만용AGV충전기'!I10</f>
        <v>0.4212121212121212</v>
      </c>
      <c r="H7" s="109" t="str">
        <f t="shared" si="0"/>
        <v>위험</v>
      </c>
    </row>
    <row r="8" spans="1:8" s="112" customFormat="1" ht="28.15" customHeight="1">
      <c r="A8" s="189"/>
      <c r="B8" s="189"/>
      <c r="C8" s="108" t="s">
        <v>10</v>
      </c>
      <c r="D8" s="113"/>
      <c r="E8" s="113"/>
      <c r="F8">
        <v>1</v>
      </c>
      <c r="G8" s="114" t="str">
        <f>'3.항만용AGV충전기'!I18</f>
        <v/>
      </c>
      <c r="H8" s="109"/>
    </row>
    <row r="9" spans="1:8" s="112" customFormat="1" ht="28.15" customHeight="1">
      <c r="A9" s="189"/>
      <c r="B9" s="189"/>
      <c r="C9" s="108" t="s">
        <v>12</v>
      </c>
      <c r="D9" s="113"/>
      <c r="E9" s="113"/>
      <c r="F9">
        <v>1</v>
      </c>
      <c r="G9" s="108"/>
      <c r="H9" s="109" t="str">
        <f t="shared" si="0"/>
        <v>위험</v>
      </c>
    </row>
    <row r="10" spans="1:8" s="112" customFormat="1" ht="28.15" customHeight="1">
      <c r="A10" s="2">
        <v>4</v>
      </c>
      <c r="B10" s="189" t="s">
        <v>14</v>
      </c>
      <c r="C10" s="108" t="s">
        <v>9</v>
      </c>
      <c r="D10" s="113"/>
      <c r="E10" s="113"/>
      <c r="F10">
        <v>1</v>
      </c>
      <c r="G10" s="108"/>
      <c r="H10" s="109" t="str">
        <f t="shared" si="0"/>
        <v>위험</v>
      </c>
    </row>
    <row r="11" spans="1:8" s="112" customFormat="1" ht="28.15" customHeight="1">
      <c r="A11" s="189"/>
      <c r="B11" s="189"/>
      <c r="C11" s="108" t="s">
        <v>10</v>
      </c>
      <c r="D11" s="113"/>
      <c r="E11" s="113"/>
      <c r="F11">
        <v>1</v>
      </c>
      <c r="G11" s="108"/>
      <c r="H11" s="109" t="str">
        <f t="shared" si="0"/>
        <v>위험</v>
      </c>
    </row>
    <row r="12" spans="1:8" s="112" customFormat="1" ht="28.15" customHeight="1">
      <c r="A12" s="189"/>
      <c r="B12" s="189"/>
      <c r="C12" s="108" t="s">
        <v>12</v>
      </c>
      <c r="D12" s="113"/>
      <c r="E12" s="113"/>
      <c r="F12">
        <v>1</v>
      </c>
      <c r="G12" s="108"/>
      <c r="H12" s="109" t="str">
        <f t="shared" si="0"/>
        <v>위험</v>
      </c>
    </row>
    <row r="13" spans="1:8" s="112" customFormat="1" ht="28.15" customHeight="1">
      <c r="A13" s="189">
        <v>5</v>
      </c>
      <c r="B13" s="189" t="s">
        <v>15</v>
      </c>
      <c r="C13" s="108" t="s">
        <v>9</v>
      </c>
      <c r="D13" s="113"/>
      <c r="E13" s="113"/>
      <c r="F13">
        <v>1</v>
      </c>
      <c r="G13" s="108"/>
      <c r="H13" s="109" t="str">
        <f t="shared" si="0"/>
        <v>위험</v>
      </c>
    </row>
    <row r="14" spans="1:8" s="112" customFormat="1" ht="28.15" customHeight="1">
      <c r="A14" s="189"/>
      <c r="B14" s="189"/>
      <c r="C14" s="108" t="s">
        <v>10</v>
      </c>
      <c r="D14" s="113"/>
      <c r="E14" s="113"/>
      <c r="F14">
        <v>1</v>
      </c>
      <c r="G14" s="108"/>
      <c r="H14" s="109" t="str">
        <f t="shared" si="0"/>
        <v>위험</v>
      </c>
    </row>
    <row r="15" spans="1:8" s="112" customFormat="1" ht="28.15" customHeight="1">
      <c r="A15" s="189"/>
      <c r="B15" s="189"/>
      <c r="C15" s="108" t="s">
        <v>12</v>
      </c>
      <c r="D15" s="113"/>
      <c r="E15" s="113"/>
      <c r="F15">
        <v>1</v>
      </c>
      <c r="G15" s="108"/>
      <c r="H15" s="109" t="str">
        <f t="shared" si="0"/>
        <v>위험</v>
      </c>
    </row>
    <row r="16" spans="1:8">
      <c r="A16"/>
      <c r="B16"/>
      <c r="C16"/>
      <c r="H16" s="110"/>
    </row>
    <row r="17" spans="8:8">
      <c r="H17" s="111"/>
    </row>
  </sheetData>
  <autoFilter ref="H1:H17" xr:uid="{00000000-0001-0000-0000-000000000000}"/>
  <mergeCells count="10">
    <mergeCell ref="A10:A12"/>
    <mergeCell ref="B10:B12"/>
    <mergeCell ref="A13:A15"/>
    <mergeCell ref="B13:B15"/>
    <mergeCell ref="A2:A3"/>
    <mergeCell ref="B2:B3"/>
    <mergeCell ref="A4:A6"/>
    <mergeCell ref="B4:B6"/>
    <mergeCell ref="A7:A9"/>
    <mergeCell ref="B7:B9"/>
  </mergeCells>
  <phoneticPr fontId="2" type="noConversion"/>
  <conditionalFormatting sqref="H2:H17">
    <cfRule type="expression" dxfId="87" priority="1">
      <formula>H2="정상"</formula>
    </cfRule>
    <cfRule type="expression" dxfId="86" priority="2">
      <formula>H2="경고"</formula>
    </cfRule>
    <cfRule type="expression" dxfId="85" priority="3">
      <formula>H2="주의"</formula>
    </cfRule>
    <cfRule type="expression" dxfId="84" priority="4">
      <formula>H2="위험"</formula>
    </cfRule>
  </conditionalFormatting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EH28"/>
  <sheetViews>
    <sheetView zoomScaleNormal="100" zoomScaleSheetLayoutView="100" workbookViewId="0">
      <pane xSplit="18" ySplit="9" topLeftCell="S10" activePane="bottomRight" state="frozen"/>
      <selection pane="bottomRight" activeCell="H14" sqref="H14"/>
      <selection pane="bottomLeft"/>
      <selection pane="topRight"/>
    </sheetView>
  </sheetViews>
  <sheetFormatPr defaultColWidth="9.125" defaultRowHeight="13.5" outlineLevelCol="1"/>
  <cols>
    <col min="1" max="1" width="2.625" style="4" customWidth="1"/>
    <col min="2" max="2" width="7.375" style="4" customWidth="1"/>
    <col min="3" max="3" width="27" style="4" customWidth="1"/>
    <col min="4" max="4" width="13.125" style="4" customWidth="1"/>
    <col min="5" max="5" width="11.5" style="4" bestFit="1" customWidth="1"/>
    <col min="6" max="6" width="12.875" style="4" bestFit="1" customWidth="1"/>
    <col min="7" max="7" width="13" style="4" bestFit="1" customWidth="1"/>
    <col min="8" max="8" width="8.75" style="4" bestFit="1" customWidth="1"/>
    <col min="9" max="9" width="11.625" style="4" customWidth="1"/>
    <col min="10" max="10" width="13" style="4" bestFit="1" customWidth="1"/>
    <col min="11" max="11" width="8.75" style="4" bestFit="1" customWidth="1"/>
    <col min="12" max="12" width="7.5" style="4" bestFit="1" customWidth="1"/>
    <col min="13" max="13" width="11.875" style="4" hidden="1" customWidth="1" outlineLevel="1"/>
    <col min="14" max="14" width="11.625" style="4" bestFit="1" customWidth="1" collapsed="1"/>
    <col min="15" max="16" width="11.875" style="4" hidden="1" customWidth="1" outlineLevel="1"/>
    <col min="17" max="17" width="7.5" style="4" bestFit="1" customWidth="1" collapsed="1"/>
    <col min="18" max="18" width="8.375" style="4" hidden="1" customWidth="1" outlineLevel="1"/>
    <col min="19" max="19" width="3.625" style="5" customWidth="1" collapsed="1"/>
    <col min="20" max="138" width="3.625" style="5" customWidth="1"/>
    <col min="139" max="139" width="2.625" style="4" customWidth="1"/>
    <col min="140" max="16384" width="9.125" style="4"/>
  </cols>
  <sheetData>
    <row r="1" spans="2:138" s="1" customFormat="1" ht="50.1" customHeight="1">
      <c r="B1" s="55" t="s">
        <v>16</v>
      </c>
      <c r="C1" s="55"/>
      <c r="D1" s="55"/>
      <c r="E1" s="55"/>
      <c r="F1" s="55"/>
      <c r="H1" s="5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spans="2:138" s="3" customFormat="1" ht="9.9499999999999993" customHeight="1"/>
    <row r="3" spans="2:138" ht="20.100000000000001" customHeight="1"/>
    <row r="4" spans="2:138" ht="23.1" customHeight="1" thickBot="1">
      <c r="C4" s="20" t="s">
        <v>17</v>
      </c>
      <c r="D4" s="193">
        <f ca="1">TODAY()</f>
        <v>46065</v>
      </c>
      <c r="E4" s="193"/>
      <c r="F4" s="56" t="s">
        <v>18</v>
      </c>
      <c r="G4" s="53" t="s">
        <v>19</v>
      </c>
      <c r="H4" s="48"/>
      <c r="I4" s="50" t="s">
        <v>20</v>
      </c>
      <c r="S4" s="27"/>
      <c r="T4" s="190" t="s">
        <v>21</v>
      </c>
      <c r="U4" s="190"/>
      <c r="V4" s="190"/>
      <c r="W4" s="28"/>
      <c r="X4" s="190" t="s">
        <v>22</v>
      </c>
      <c r="Y4" s="190"/>
      <c r="Z4" s="190"/>
      <c r="AA4" s="29"/>
      <c r="AB4" s="190" t="s">
        <v>23</v>
      </c>
      <c r="AC4" s="190"/>
      <c r="AD4" s="190"/>
      <c r="AE4" s="30"/>
      <c r="AF4" s="190" t="s">
        <v>24</v>
      </c>
      <c r="AG4" s="190"/>
      <c r="AH4" s="190"/>
      <c r="AI4" s="31"/>
      <c r="AJ4" s="190" t="s">
        <v>25</v>
      </c>
      <c r="AK4" s="190"/>
      <c r="AL4" s="190"/>
      <c r="AM4" s="48"/>
      <c r="AN4" s="48"/>
      <c r="AO4" s="6"/>
      <c r="AP4" s="6"/>
      <c r="AQ4" s="6"/>
    </row>
    <row r="5" spans="2:138" ht="5.0999999999999996" customHeight="1" thickTop="1">
      <c r="C5" s="21"/>
      <c r="D5" s="21"/>
      <c r="E5" s="21"/>
      <c r="F5" s="57"/>
      <c r="G5" s="21"/>
      <c r="H5" s="21"/>
      <c r="N5" s="6"/>
      <c r="O5" s="6"/>
      <c r="X5" s="7"/>
    </row>
    <row r="6" spans="2:138" ht="23.1" customHeight="1" thickBot="1">
      <c r="C6" s="20" t="s">
        <v>26</v>
      </c>
      <c r="D6" s="191" t="s">
        <v>27</v>
      </c>
      <c r="E6" s="191"/>
      <c r="F6" s="56" t="s">
        <v>3</v>
      </c>
      <c r="G6" s="54">
        <v>46033</v>
      </c>
      <c r="H6" s="48"/>
      <c r="I6" s="61">
        <v>1</v>
      </c>
      <c r="J6" s="8">
        <v>0</v>
      </c>
      <c r="L6" s="8"/>
      <c r="N6" s="6"/>
      <c r="O6" s="6"/>
    </row>
    <row r="7" spans="2:138" ht="24.95" customHeight="1" thickTop="1">
      <c r="R7" s="5"/>
      <c r="S7" s="49" t="str">
        <f>TEXT(DATE(YEAR(S9),MONTH(S9),DAY(S9)),"M월")</f>
        <v>1월</v>
      </c>
      <c r="T7" s="49" t="str">
        <f>IF(MONTH(T9)&lt;&gt;MONTH(S9),TEXT(DATE(YEAR(T9),MONTH(T9),DAY(T9)),"M월"),"")</f>
        <v/>
      </c>
      <c r="U7" s="49" t="str">
        <f t="shared" ref="U7:CF7" si="0">IF(MONTH(U9)&lt;&gt;MONTH(T9),TEXT(DATE(YEAR(U9),MONTH(U9),DAY(U9)),"M월"),"")</f>
        <v/>
      </c>
      <c r="V7" s="49" t="str">
        <f t="shared" si="0"/>
        <v/>
      </c>
      <c r="W7" s="49" t="str">
        <f t="shared" si="0"/>
        <v/>
      </c>
      <c r="X7" s="49" t="str">
        <f t="shared" si="0"/>
        <v/>
      </c>
      <c r="Y7" s="49" t="str">
        <f t="shared" si="0"/>
        <v/>
      </c>
      <c r="Z7" s="49" t="str">
        <f t="shared" si="0"/>
        <v/>
      </c>
      <c r="AA7" s="49" t="str">
        <f t="shared" si="0"/>
        <v/>
      </c>
      <c r="AB7" s="49" t="str">
        <f t="shared" si="0"/>
        <v/>
      </c>
      <c r="AC7" s="49" t="str">
        <f t="shared" si="0"/>
        <v/>
      </c>
      <c r="AD7" s="49" t="str">
        <f t="shared" si="0"/>
        <v/>
      </c>
      <c r="AE7" s="49" t="str">
        <f t="shared" si="0"/>
        <v/>
      </c>
      <c r="AF7" s="49" t="str">
        <f t="shared" si="0"/>
        <v/>
      </c>
      <c r="AG7" s="49" t="str">
        <f t="shared" si="0"/>
        <v/>
      </c>
      <c r="AH7" s="49" t="str">
        <f t="shared" si="0"/>
        <v/>
      </c>
      <c r="AI7" s="49" t="str">
        <f t="shared" si="0"/>
        <v/>
      </c>
      <c r="AJ7" s="49" t="str">
        <f t="shared" si="0"/>
        <v/>
      </c>
      <c r="AK7" s="49" t="str">
        <f t="shared" si="0"/>
        <v/>
      </c>
      <c r="AL7" s="49" t="str">
        <f t="shared" si="0"/>
        <v/>
      </c>
      <c r="AM7" s="49" t="str">
        <f t="shared" si="0"/>
        <v>2월</v>
      </c>
      <c r="AN7" s="49" t="str">
        <f t="shared" si="0"/>
        <v/>
      </c>
      <c r="AO7" s="49" t="str">
        <f t="shared" si="0"/>
        <v/>
      </c>
      <c r="AP7" s="49" t="str">
        <f t="shared" si="0"/>
        <v/>
      </c>
      <c r="AQ7" s="49" t="str">
        <f t="shared" si="0"/>
        <v/>
      </c>
      <c r="AR7" s="49" t="str">
        <f t="shared" si="0"/>
        <v/>
      </c>
      <c r="AS7" s="49" t="str">
        <f t="shared" si="0"/>
        <v/>
      </c>
      <c r="AT7" s="49" t="str">
        <f t="shared" si="0"/>
        <v/>
      </c>
      <c r="AU7" s="49" t="str">
        <f t="shared" si="0"/>
        <v/>
      </c>
      <c r="AV7" s="49" t="str">
        <f t="shared" si="0"/>
        <v/>
      </c>
      <c r="AW7" s="49" t="str">
        <f t="shared" si="0"/>
        <v/>
      </c>
      <c r="AX7" s="49" t="str">
        <f t="shared" si="0"/>
        <v/>
      </c>
      <c r="AY7" s="49" t="str">
        <f t="shared" si="0"/>
        <v/>
      </c>
      <c r="AZ7" s="49" t="str">
        <f t="shared" si="0"/>
        <v/>
      </c>
      <c r="BA7" s="49" t="str">
        <f t="shared" si="0"/>
        <v/>
      </c>
      <c r="BB7" s="49" t="str">
        <f t="shared" si="0"/>
        <v/>
      </c>
      <c r="BC7" s="49" t="str">
        <f t="shared" si="0"/>
        <v/>
      </c>
      <c r="BD7" s="49" t="str">
        <f t="shared" si="0"/>
        <v/>
      </c>
      <c r="BE7" s="49" t="str">
        <f t="shared" si="0"/>
        <v/>
      </c>
      <c r="BF7" s="49" t="str">
        <f t="shared" si="0"/>
        <v/>
      </c>
      <c r="BG7" s="49" t="str">
        <f t="shared" si="0"/>
        <v/>
      </c>
      <c r="BH7" s="49" t="str">
        <f t="shared" si="0"/>
        <v/>
      </c>
      <c r="BI7" s="49" t="str">
        <f t="shared" si="0"/>
        <v/>
      </c>
      <c r="BJ7" s="49" t="str">
        <f t="shared" si="0"/>
        <v/>
      </c>
      <c r="BK7" s="49" t="str">
        <f t="shared" si="0"/>
        <v/>
      </c>
      <c r="BL7" s="49" t="str">
        <f t="shared" si="0"/>
        <v/>
      </c>
      <c r="BM7" s="49" t="str">
        <f t="shared" si="0"/>
        <v/>
      </c>
      <c r="BN7" s="49" t="str">
        <f t="shared" si="0"/>
        <v/>
      </c>
      <c r="BO7" s="49" t="str">
        <f t="shared" si="0"/>
        <v>3월</v>
      </c>
      <c r="BP7" s="49" t="str">
        <f t="shared" si="0"/>
        <v/>
      </c>
      <c r="BQ7" s="49" t="str">
        <f t="shared" si="0"/>
        <v/>
      </c>
      <c r="BR7" s="49" t="str">
        <f t="shared" si="0"/>
        <v/>
      </c>
      <c r="BS7" s="49" t="str">
        <f t="shared" si="0"/>
        <v/>
      </c>
      <c r="BT7" s="49" t="str">
        <f t="shared" si="0"/>
        <v/>
      </c>
      <c r="BU7" s="49" t="str">
        <f t="shared" si="0"/>
        <v/>
      </c>
      <c r="BV7" s="49" t="str">
        <f t="shared" si="0"/>
        <v/>
      </c>
      <c r="BW7" s="49" t="str">
        <f t="shared" si="0"/>
        <v/>
      </c>
      <c r="BX7" s="49" t="str">
        <f t="shared" si="0"/>
        <v/>
      </c>
      <c r="BY7" s="49" t="str">
        <f t="shared" si="0"/>
        <v/>
      </c>
      <c r="BZ7" s="49" t="str">
        <f t="shared" si="0"/>
        <v/>
      </c>
      <c r="CA7" s="49" t="str">
        <f t="shared" si="0"/>
        <v/>
      </c>
      <c r="CB7" s="49" t="str">
        <f t="shared" si="0"/>
        <v/>
      </c>
      <c r="CC7" s="49" t="str">
        <f t="shared" si="0"/>
        <v/>
      </c>
      <c r="CD7" s="49" t="str">
        <f t="shared" si="0"/>
        <v/>
      </c>
      <c r="CE7" s="49" t="str">
        <f t="shared" si="0"/>
        <v/>
      </c>
      <c r="CF7" s="49" t="str">
        <f t="shared" si="0"/>
        <v/>
      </c>
      <c r="CG7" s="49" t="str">
        <f t="shared" ref="CG7:EH7" si="1">IF(MONTH(CG9)&lt;&gt;MONTH(CF9),TEXT(DATE(YEAR(CG9),MONTH(CG9),DAY(CG9)),"M월"),"")</f>
        <v/>
      </c>
      <c r="CH7" s="49" t="str">
        <f t="shared" si="1"/>
        <v/>
      </c>
      <c r="CI7" s="49" t="str">
        <f t="shared" si="1"/>
        <v/>
      </c>
      <c r="CJ7" s="49" t="str">
        <f t="shared" si="1"/>
        <v/>
      </c>
      <c r="CK7" s="49" t="str">
        <f t="shared" si="1"/>
        <v/>
      </c>
      <c r="CL7" s="49" t="str">
        <f t="shared" si="1"/>
        <v/>
      </c>
      <c r="CM7" s="49" t="str">
        <f t="shared" si="1"/>
        <v/>
      </c>
      <c r="CN7" s="49" t="str">
        <f t="shared" si="1"/>
        <v/>
      </c>
      <c r="CO7" s="49" t="str">
        <f t="shared" si="1"/>
        <v/>
      </c>
      <c r="CP7" s="49" t="str">
        <f t="shared" si="1"/>
        <v/>
      </c>
      <c r="CQ7" s="49" t="str">
        <f t="shared" si="1"/>
        <v/>
      </c>
      <c r="CR7" s="49" t="str">
        <f t="shared" si="1"/>
        <v/>
      </c>
      <c r="CS7" s="49" t="str">
        <f t="shared" si="1"/>
        <v/>
      </c>
      <c r="CT7" s="49" t="str">
        <f t="shared" si="1"/>
        <v>4월</v>
      </c>
      <c r="CU7" s="49" t="str">
        <f t="shared" si="1"/>
        <v/>
      </c>
      <c r="CV7" s="49" t="str">
        <f t="shared" si="1"/>
        <v/>
      </c>
      <c r="CW7" s="49" t="str">
        <f t="shared" si="1"/>
        <v/>
      </c>
      <c r="CX7" s="49" t="str">
        <f t="shared" si="1"/>
        <v/>
      </c>
      <c r="CY7" s="49" t="str">
        <f t="shared" si="1"/>
        <v/>
      </c>
      <c r="CZ7" s="49" t="str">
        <f t="shared" si="1"/>
        <v/>
      </c>
      <c r="DA7" s="49" t="str">
        <f t="shared" si="1"/>
        <v/>
      </c>
      <c r="DB7" s="49" t="str">
        <f t="shared" si="1"/>
        <v/>
      </c>
      <c r="DC7" s="49" t="str">
        <f t="shared" si="1"/>
        <v/>
      </c>
      <c r="DD7" s="49" t="str">
        <f t="shared" si="1"/>
        <v/>
      </c>
      <c r="DE7" s="49" t="str">
        <f t="shared" si="1"/>
        <v/>
      </c>
      <c r="DF7" s="49" t="str">
        <f t="shared" si="1"/>
        <v/>
      </c>
      <c r="DG7" s="49" t="str">
        <f t="shared" si="1"/>
        <v/>
      </c>
      <c r="DH7" s="49" t="str">
        <f t="shared" si="1"/>
        <v/>
      </c>
      <c r="DI7" s="49" t="str">
        <f t="shared" si="1"/>
        <v/>
      </c>
      <c r="DJ7" s="49" t="str">
        <f t="shared" si="1"/>
        <v/>
      </c>
      <c r="DK7" s="49" t="str">
        <f t="shared" si="1"/>
        <v/>
      </c>
      <c r="DL7" s="49" t="str">
        <f t="shared" si="1"/>
        <v/>
      </c>
      <c r="DM7" s="49" t="str">
        <f t="shared" si="1"/>
        <v/>
      </c>
      <c r="DN7" s="49" t="str">
        <f t="shared" si="1"/>
        <v/>
      </c>
      <c r="DO7" s="49" t="str">
        <f t="shared" si="1"/>
        <v/>
      </c>
      <c r="DP7" s="49" t="str">
        <f t="shared" si="1"/>
        <v/>
      </c>
      <c r="DQ7" s="49" t="str">
        <f t="shared" si="1"/>
        <v/>
      </c>
      <c r="DR7" s="49" t="str">
        <f t="shared" si="1"/>
        <v/>
      </c>
      <c r="DS7" s="49" t="str">
        <f t="shared" si="1"/>
        <v/>
      </c>
      <c r="DT7" s="49" t="str">
        <f t="shared" si="1"/>
        <v/>
      </c>
      <c r="DU7" s="49" t="str">
        <f t="shared" si="1"/>
        <v/>
      </c>
      <c r="DV7" s="49" t="str">
        <f t="shared" si="1"/>
        <v/>
      </c>
      <c r="DW7" s="49" t="str">
        <f t="shared" si="1"/>
        <v/>
      </c>
      <c r="DX7" s="49" t="str">
        <f t="shared" si="1"/>
        <v>5월</v>
      </c>
      <c r="DY7" s="49" t="str">
        <f t="shared" si="1"/>
        <v/>
      </c>
      <c r="DZ7" s="49" t="str">
        <f t="shared" si="1"/>
        <v/>
      </c>
      <c r="EA7" s="49" t="str">
        <f t="shared" si="1"/>
        <v/>
      </c>
      <c r="EB7" s="49" t="str">
        <f t="shared" si="1"/>
        <v/>
      </c>
      <c r="EC7" s="49" t="str">
        <f t="shared" si="1"/>
        <v/>
      </c>
      <c r="ED7" s="49" t="str">
        <f t="shared" si="1"/>
        <v/>
      </c>
      <c r="EE7" s="49" t="str">
        <f t="shared" si="1"/>
        <v/>
      </c>
      <c r="EF7" s="49" t="str">
        <f t="shared" si="1"/>
        <v/>
      </c>
      <c r="EG7" s="49" t="str">
        <f t="shared" si="1"/>
        <v/>
      </c>
      <c r="EH7" s="49" t="str">
        <f t="shared" si="1"/>
        <v/>
      </c>
    </row>
    <row r="8" spans="2:138" ht="18" customHeight="1">
      <c r="S8" s="47">
        <f>S9</f>
        <v>46034</v>
      </c>
      <c r="T8" s="47">
        <f t="shared" ref="T8:AI9" si="2">S8+$I$6</f>
        <v>46035</v>
      </c>
      <c r="U8" s="47">
        <f t="shared" si="2"/>
        <v>46036</v>
      </c>
      <c r="V8" s="47">
        <f t="shared" si="2"/>
        <v>46037</v>
      </c>
      <c r="W8" s="47">
        <f t="shared" si="2"/>
        <v>46038</v>
      </c>
      <c r="X8" s="47">
        <f t="shared" si="2"/>
        <v>46039</v>
      </c>
      <c r="Y8" s="47">
        <f t="shared" si="2"/>
        <v>46040</v>
      </c>
      <c r="Z8" s="47">
        <f t="shared" si="2"/>
        <v>46041</v>
      </c>
      <c r="AA8" s="47">
        <f t="shared" si="2"/>
        <v>46042</v>
      </c>
      <c r="AB8" s="47">
        <f t="shared" si="2"/>
        <v>46043</v>
      </c>
      <c r="AC8" s="47">
        <f t="shared" si="2"/>
        <v>46044</v>
      </c>
      <c r="AD8" s="47">
        <f t="shared" si="2"/>
        <v>46045</v>
      </c>
      <c r="AE8" s="47">
        <f t="shared" si="2"/>
        <v>46046</v>
      </c>
      <c r="AF8" s="47">
        <f t="shared" si="2"/>
        <v>46047</v>
      </c>
      <c r="AG8" s="47">
        <f t="shared" si="2"/>
        <v>46048</v>
      </c>
      <c r="AH8" s="47">
        <f t="shared" si="2"/>
        <v>46049</v>
      </c>
      <c r="AI8" s="47">
        <f t="shared" si="2"/>
        <v>46050</v>
      </c>
      <c r="AJ8" s="47">
        <f t="shared" ref="AJ8:AY9" si="3">AI8+$I$6</f>
        <v>46051</v>
      </c>
      <c r="AK8" s="47">
        <f t="shared" si="3"/>
        <v>46052</v>
      </c>
      <c r="AL8" s="47">
        <f t="shared" si="3"/>
        <v>46053</v>
      </c>
      <c r="AM8" s="47">
        <f t="shared" si="3"/>
        <v>46054</v>
      </c>
      <c r="AN8" s="47">
        <f t="shared" si="3"/>
        <v>46055</v>
      </c>
      <c r="AO8" s="47">
        <f t="shared" si="3"/>
        <v>46056</v>
      </c>
      <c r="AP8" s="47">
        <f t="shared" si="3"/>
        <v>46057</v>
      </c>
      <c r="AQ8" s="47">
        <f t="shared" si="3"/>
        <v>46058</v>
      </c>
      <c r="AR8" s="47">
        <f t="shared" si="3"/>
        <v>46059</v>
      </c>
      <c r="AS8" s="47">
        <f t="shared" si="3"/>
        <v>46060</v>
      </c>
      <c r="AT8" s="47">
        <f t="shared" si="3"/>
        <v>46061</v>
      </c>
      <c r="AU8" s="47">
        <f t="shared" si="3"/>
        <v>46062</v>
      </c>
      <c r="AV8" s="47">
        <f t="shared" si="3"/>
        <v>46063</v>
      </c>
      <c r="AW8" s="47">
        <f t="shared" si="3"/>
        <v>46064</v>
      </c>
      <c r="AX8" s="47">
        <f t="shared" si="3"/>
        <v>46065</v>
      </c>
      <c r="AY8" s="47">
        <f t="shared" si="3"/>
        <v>46066</v>
      </c>
      <c r="AZ8" s="47">
        <f t="shared" ref="AZ8:BO9" si="4">AY8+$I$6</f>
        <v>46067</v>
      </c>
      <c r="BA8" s="47">
        <f t="shared" si="4"/>
        <v>46068</v>
      </c>
      <c r="BB8" s="47">
        <f t="shared" si="4"/>
        <v>46069</v>
      </c>
      <c r="BC8" s="47">
        <f t="shared" si="4"/>
        <v>46070</v>
      </c>
      <c r="BD8" s="47">
        <f t="shared" si="4"/>
        <v>46071</v>
      </c>
      <c r="BE8" s="47">
        <f t="shared" si="4"/>
        <v>46072</v>
      </c>
      <c r="BF8" s="47">
        <f t="shared" si="4"/>
        <v>46073</v>
      </c>
      <c r="BG8" s="47">
        <f t="shared" si="4"/>
        <v>46074</v>
      </c>
      <c r="BH8" s="47">
        <f t="shared" si="4"/>
        <v>46075</v>
      </c>
      <c r="BI8" s="47">
        <f t="shared" si="4"/>
        <v>46076</v>
      </c>
      <c r="BJ8" s="47">
        <f t="shared" si="4"/>
        <v>46077</v>
      </c>
      <c r="BK8" s="47">
        <f t="shared" si="4"/>
        <v>46078</v>
      </c>
      <c r="BL8" s="47">
        <f t="shared" si="4"/>
        <v>46079</v>
      </c>
      <c r="BM8" s="47">
        <f t="shared" si="4"/>
        <v>46080</v>
      </c>
      <c r="BN8" s="47">
        <f t="shared" si="4"/>
        <v>46081</v>
      </c>
      <c r="BO8" s="47">
        <f t="shared" si="4"/>
        <v>46082</v>
      </c>
      <c r="BP8" s="47">
        <f t="shared" ref="BP8:CE9" si="5">BO8+$I$6</f>
        <v>46083</v>
      </c>
      <c r="BQ8" s="47">
        <f t="shared" si="5"/>
        <v>46084</v>
      </c>
      <c r="BR8" s="47">
        <f t="shared" si="5"/>
        <v>46085</v>
      </c>
      <c r="BS8" s="47">
        <f t="shared" si="5"/>
        <v>46086</v>
      </c>
      <c r="BT8" s="47">
        <f t="shared" si="5"/>
        <v>46087</v>
      </c>
      <c r="BU8" s="47">
        <f t="shared" si="5"/>
        <v>46088</v>
      </c>
      <c r="BV8" s="47">
        <f t="shared" si="5"/>
        <v>46089</v>
      </c>
      <c r="BW8" s="47">
        <f t="shared" si="5"/>
        <v>46090</v>
      </c>
      <c r="BX8" s="47">
        <f t="shared" si="5"/>
        <v>46091</v>
      </c>
      <c r="BY8" s="47">
        <f t="shared" si="5"/>
        <v>46092</v>
      </c>
      <c r="BZ8" s="47">
        <f t="shared" si="5"/>
        <v>46093</v>
      </c>
      <c r="CA8" s="47">
        <f t="shared" si="5"/>
        <v>46094</v>
      </c>
      <c r="CB8" s="47">
        <f t="shared" si="5"/>
        <v>46095</v>
      </c>
      <c r="CC8" s="47">
        <f t="shared" si="5"/>
        <v>46096</v>
      </c>
      <c r="CD8" s="47">
        <f t="shared" si="5"/>
        <v>46097</v>
      </c>
      <c r="CE8" s="47">
        <f t="shared" si="5"/>
        <v>46098</v>
      </c>
      <c r="CF8" s="47">
        <f t="shared" ref="CF8:CU9" si="6">CE8+$I$6</f>
        <v>46099</v>
      </c>
      <c r="CG8" s="47">
        <f t="shared" si="6"/>
        <v>46100</v>
      </c>
      <c r="CH8" s="47">
        <f t="shared" si="6"/>
        <v>46101</v>
      </c>
      <c r="CI8" s="47">
        <f t="shared" si="6"/>
        <v>46102</v>
      </c>
      <c r="CJ8" s="47">
        <f t="shared" si="6"/>
        <v>46103</v>
      </c>
      <c r="CK8" s="47">
        <f t="shared" si="6"/>
        <v>46104</v>
      </c>
      <c r="CL8" s="47">
        <f t="shared" si="6"/>
        <v>46105</v>
      </c>
      <c r="CM8" s="47">
        <f t="shared" si="6"/>
        <v>46106</v>
      </c>
      <c r="CN8" s="47">
        <f t="shared" si="6"/>
        <v>46107</v>
      </c>
      <c r="CO8" s="47">
        <f t="shared" si="6"/>
        <v>46108</v>
      </c>
      <c r="CP8" s="47">
        <f t="shared" si="6"/>
        <v>46109</v>
      </c>
      <c r="CQ8" s="47">
        <f t="shared" si="6"/>
        <v>46110</v>
      </c>
      <c r="CR8" s="47">
        <f t="shared" si="6"/>
        <v>46111</v>
      </c>
      <c r="CS8" s="47">
        <f t="shared" si="6"/>
        <v>46112</v>
      </c>
      <c r="CT8" s="47">
        <f t="shared" si="6"/>
        <v>46113</v>
      </c>
      <c r="CU8" s="47">
        <f t="shared" si="6"/>
        <v>46114</v>
      </c>
      <c r="CV8" s="47">
        <f t="shared" ref="CV8:DK9" si="7">CU8+$I$6</f>
        <v>46115</v>
      </c>
      <c r="CW8" s="47">
        <f t="shared" si="7"/>
        <v>46116</v>
      </c>
      <c r="CX8" s="47">
        <f t="shared" si="7"/>
        <v>46117</v>
      </c>
      <c r="CY8" s="47">
        <f t="shared" si="7"/>
        <v>46118</v>
      </c>
      <c r="CZ8" s="47">
        <f t="shared" si="7"/>
        <v>46119</v>
      </c>
      <c r="DA8" s="47">
        <f t="shared" si="7"/>
        <v>46120</v>
      </c>
      <c r="DB8" s="47">
        <f t="shared" si="7"/>
        <v>46121</v>
      </c>
      <c r="DC8" s="47">
        <f t="shared" si="7"/>
        <v>46122</v>
      </c>
      <c r="DD8" s="47">
        <f t="shared" si="7"/>
        <v>46123</v>
      </c>
      <c r="DE8" s="47">
        <f t="shared" si="7"/>
        <v>46124</v>
      </c>
      <c r="DF8" s="47">
        <f t="shared" si="7"/>
        <v>46125</v>
      </c>
      <c r="DG8" s="47">
        <f t="shared" si="7"/>
        <v>46126</v>
      </c>
      <c r="DH8" s="47">
        <f t="shared" si="7"/>
        <v>46127</v>
      </c>
      <c r="DI8" s="47">
        <f t="shared" si="7"/>
        <v>46128</v>
      </c>
      <c r="DJ8" s="47">
        <f t="shared" si="7"/>
        <v>46129</v>
      </c>
      <c r="DK8" s="47">
        <f t="shared" si="7"/>
        <v>46130</v>
      </c>
      <c r="DL8" s="47">
        <f t="shared" ref="DL8:EA9" si="8">DK8+$I$6</f>
        <v>46131</v>
      </c>
      <c r="DM8" s="47">
        <f t="shared" si="8"/>
        <v>46132</v>
      </c>
      <c r="DN8" s="47">
        <f t="shared" si="8"/>
        <v>46133</v>
      </c>
      <c r="DO8" s="47">
        <f t="shared" si="8"/>
        <v>46134</v>
      </c>
      <c r="DP8" s="47">
        <f t="shared" si="8"/>
        <v>46135</v>
      </c>
      <c r="DQ8" s="47">
        <f t="shared" si="8"/>
        <v>46136</v>
      </c>
      <c r="DR8" s="47">
        <f t="shared" si="8"/>
        <v>46137</v>
      </c>
      <c r="DS8" s="47">
        <f t="shared" si="8"/>
        <v>46138</v>
      </c>
      <c r="DT8" s="47">
        <f t="shared" si="8"/>
        <v>46139</v>
      </c>
      <c r="DU8" s="47">
        <f t="shared" si="8"/>
        <v>46140</v>
      </c>
      <c r="DV8" s="47">
        <f t="shared" si="8"/>
        <v>46141</v>
      </c>
      <c r="DW8" s="47">
        <f t="shared" si="8"/>
        <v>46142</v>
      </c>
      <c r="DX8" s="47">
        <f t="shared" si="8"/>
        <v>46143</v>
      </c>
      <c r="DY8" s="47">
        <f t="shared" si="8"/>
        <v>46144</v>
      </c>
      <c r="DZ8" s="47">
        <f t="shared" si="8"/>
        <v>46145</v>
      </c>
      <c r="EA8" s="47">
        <f t="shared" si="8"/>
        <v>46146</v>
      </c>
      <c r="EB8" s="47">
        <f t="shared" ref="EB8:EH9" si="9">EA8+$I$6</f>
        <v>46147</v>
      </c>
      <c r="EC8" s="47">
        <f t="shared" si="9"/>
        <v>46148</v>
      </c>
      <c r="ED8" s="47">
        <f t="shared" si="9"/>
        <v>46149</v>
      </c>
      <c r="EE8" s="47">
        <f t="shared" si="9"/>
        <v>46150</v>
      </c>
      <c r="EF8" s="47">
        <f t="shared" si="9"/>
        <v>46151</v>
      </c>
      <c r="EG8" s="47">
        <f t="shared" si="9"/>
        <v>46152</v>
      </c>
      <c r="EH8" s="47">
        <f t="shared" si="9"/>
        <v>46153</v>
      </c>
    </row>
    <row r="9" spans="2:138" s="9" customFormat="1" ht="23.1" customHeight="1" thickBot="1">
      <c r="B9" s="22" t="s">
        <v>28</v>
      </c>
      <c r="C9" s="192" t="s">
        <v>1</v>
      </c>
      <c r="D9" s="192"/>
      <c r="E9" s="22" t="s">
        <v>29</v>
      </c>
      <c r="F9" s="22" t="s">
        <v>3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3" t="s">
        <v>40</v>
      </c>
      <c r="R9" s="10" t="s">
        <v>41</v>
      </c>
      <c r="S9" s="32">
        <f>$G$6-WEEKDAY($G$6,1)+INDEX({1;2;3;4;5;6;7},MATCH($D$6,{"일요일";"월요일";"화요일";"수요일";"목요일";"금요일";"토요일"},0))</f>
        <v>46034</v>
      </c>
      <c r="T9" s="32">
        <f t="shared" si="2"/>
        <v>46035</v>
      </c>
      <c r="U9" s="32">
        <f t="shared" si="2"/>
        <v>46036</v>
      </c>
      <c r="V9" s="32">
        <f t="shared" si="2"/>
        <v>46037</v>
      </c>
      <c r="W9" s="32">
        <f t="shared" si="2"/>
        <v>46038</v>
      </c>
      <c r="X9" s="32">
        <f t="shared" si="2"/>
        <v>46039</v>
      </c>
      <c r="Y9" s="32">
        <f t="shared" si="2"/>
        <v>46040</v>
      </c>
      <c r="Z9" s="32">
        <f t="shared" si="2"/>
        <v>46041</v>
      </c>
      <c r="AA9" s="32">
        <f t="shared" si="2"/>
        <v>46042</v>
      </c>
      <c r="AB9" s="32">
        <f t="shared" si="2"/>
        <v>46043</v>
      </c>
      <c r="AC9" s="32">
        <f t="shared" si="2"/>
        <v>46044</v>
      </c>
      <c r="AD9" s="32">
        <f t="shared" si="2"/>
        <v>46045</v>
      </c>
      <c r="AE9" s="32">
        <f t="shared" si="2"/>
        <v>46046</v>
      </c>
      <c r="AF9" s="32">
        <f t="shared" si="2"/>
        <v>46047</v>
      </c>
      <c r="AG9" s="32">
        <f t="shared" si="2"/>
        <v>46048</v>
      </c>
      <c r="AH9" s="32">
        <f t="shared" si="2"/>
        <v>46049</v>
      </c>
      <c r="AI9" s="32">
        <f t="shared" si="2"/>
        <v>46050</v>
      </c>
      <c r="AJ9" s="32">
        <f t="shared" si="3"/>
        <v>46051</v>
      </c>
      <c r="AK9" s="32">
        <f t="shared" si="3"/>
        <v>46052</v>
      </c>
      <c r="AL9" s="32">
        <f t="shared" si="3"/>
        <v>46053</v>
      </c>
      <c r="AM9" s="32">
        <f t="shared" si="3"/>
        <v>46054</v>
      </c>
      <c r="AN9" s="32">
        <f t="shared" si="3"/>
        <v>46055</v>
      </c>
      <c r="AO9" s="32">
        <f t="shared" si="3"/>
        <v>46056</v>
      </c>
      <c r="AP9" s="32">
        <f t="shared" si="3"/>
        <v>46057</v>
      </c>
      <c r="AQ9" s="32">
        <f t="shared" si="3"/>
        <v>46058</v>
      </c>
      <c r="AR9" s="32">
        <f t="shared" si="3"/>
        <v>46059</v>
      </c>
      <c r="AS9" s="32">
        <f t="shared" si="3"/>
        <v>46060</v>
      </c>
      <c r="AT9" s="32">
        <f t="shared" si="3"/>
        <v>46061</v>
      </c>
      <c r="AU9" s="32">
        <f t="shared" si="3"/>
        <v>46062</v>
      </c>
      <c r="AV9" s="32">
        <f t="shared" si="3"/>
        <v>46063</v>
      </c>
      <c r="AW9" s="32">
        <f t="shared" si="3"/>
        <v>46064</v>
      </c>
      <c r="AX9" s="32">
        <f t="shared" si="3"/>
        <v>46065</v>
      </c>
      <c r="AY9" s="32">
        <f t="shared" si="3"/>
        <v>46066</v>
      </c>
      <c r="AZ9" s="32">
        <f t="shared" si="4"/>
        <v>46067</v>
      </c>
      <c r="BA9" s="32">
        <f t="shared" si="4"/>
        <v>46068</v>
      </c>
      <c r="BB9" s="32">
        <f t="shared" si="4"/>
        <v>46069</v>
      </c>
      <c r="BC9" s="32">
        <f t="shared" si="4"/>
        <v>46070</v>
      </c>
      <c r="BD9" s="32">
        <f t="shared" si="4"/>
        <v>46071</v>
      </c>
      <c r="BE9" s="32">
        <f t="shared" si="4"/>
        <v>46072</v>
      </c>
      <c r="BF9" s="32">
        <f t="shared" si="4"/>
        <v>46073</v>
      </c>
      <c r="BG9" s="32">
        <f t="shared" si="4"/>
        <v>46074</v>
      </c>
      <c r="BH9" s="32">
        <f t="shared" si="4"/>
        <v>46075</v>
      </c>
      <c r="BI9" s="32">
        <f t="shared" si="4"/>
        <v>46076</v>
      </c>
      <c r="BJ9" s="32">
        <f t="shared" si="4"/>
        <v>46077</v>
      </c>
      <c r="BK9" s="32">
        <f t="shared" si="4"/>
        <v>46078</v>
      </c>
      <c r="BL9" s="32">
        <f t="shared" si="4"/>
        <v>46079</v>
      </c>
      <c r="BM9" s="32">
        <f t="shared" si="4"/>
        <v>46080</v>
      </c>
      <c r="BN9" s="32">
        <f t="shared" si="4"/>
        <v>46081</v>
      </c>
      <c r="BO9" s="32">
        <f t="shared" si="4"/>
        <v>46082</v>
      </c>
      <c r="BP9" s="32">
        <f t="shared" si="5"/>
        <v>46083</v>
      </c>
      <c r="BQ9" s="32">
        <f t="shared" si="5"/>
        <v>46084</v>
      </c>
      <c r="BR9" s="32">
        <f t="shared" si="5"/>
        <v>46085</v>
      </c>
      <c r="BS9" s="32">
        <f t="shared" si="5"/>
        <v>46086</v>
      </c>
      <c r="BT9" s="32">
        <f t="shared" si="5"/>
        <v>46087</v>
      </c>
      <c r="BU9" s="32">
        <f t="shared" si="5"/>
        <v>46088</v>
      </c>
      <c r="BV9" s="32">
        <f t="shared" si="5"/>
        <v>46089</v>
      </c>
      <c r="BW9" s="32">
        <f t="shared" si="5"/>
        <v>46090</v>
      </c>
      <c r="BX9" s="32">
        <f t="shared" si="5"/>
        <v>46091</v>
      </c>
      <c r="BY9" s="32">
        <f t="shared" si="5"/>
        <v>46092</v>
      </c>
      <c r="BZ9" s="32">
        <f t="shared" si="5"/>
        <v>46093</v>
      </c>
      <c r="CA9" s="32">
        <f t="shared" si="5"/>
        <v>46094</v>
      </c>
      <c r="CB9" s="32">
        <f t="shared" si="5"/>
        <v>46095</v>
      </c>
      <c r="CC9" s="32">
        <f t="shared" si="5"/>
        <v>46096</v>
      </c>
      <c r="CD9" s="32">
        <f t="shared" si="5"/>
        <v>46097</v>
      </c>
      <c r="CE9" s="32">
        <f t="shared" si="5"/>
        <v>46098</v>
      </c>
      <c r="CF9" s="32">
        <f t="shared" si="6"/>
        <v>46099</v>
      </c>
      <c r="CG9" s="32">
        <f t="shared" si="6"/>
        <v>46100</v>
      </c>
      <c r="CH9" s="32">
        <f t="shared" si="6"/>
        <v>46101</v>
      </c>
      <c r="CI9" s="32">
        <f t="shared" si="6"/>
        <v>46102</v>
      </c>
      <c r="CJ9" s="32">
        <f t="shared" si="6"/>
        <v>46103</v>
      </c>
      <c r="CK9" s="32">
        <f t="shared" si="6"/>
        <v>46104</v>
      </c>
      <c r="CL9" s="32">
        <f t="shared" si="6"/>
        <v>46105</v>
      </c>
      <c r="CM9" s="32">
        <f t="shared" si="6"/>
        <v>46106</v>
      </c>
      <c r="CN9" s="32">
        <f t="shared" si="6"/>
        <v>46107</v>
      </c>
      <c r="CO9" s="32">
        <f t="shared" si="6"/>
        <v>46108</v>
      </c>
      <c r="CP9" s="32">
        <f t="shared" si="6"/>
        <v>46109</v>
      </c>
      <c r="CQ9" s="32">
        <f t="shared" si="6"/>
        <v>46110</v>
      </c>
      <c r="CR9" s="32">
        <f t="shared" si="6"/>
        <v>46111</v>
      </c>
      <c r="CS9" s="32">
        <f t="shared" si="6"/>
        <v>46112</v>
      </c>
      <c r="CT9" s="32">
        <f t="shared" si="6"/>
        <v>46113</v>
      </c>
      <c r="CU9" s="32">
        <f t="shared" si="6"/>
        <v>46114</v>
      </c>
      <c r="CV9" s="32">
        <f t="shared" si="7"/>
        <v>46115</v>
      </c>
      <c r="CW9" s="32">
        <f t="shared" si="7"/>
        <v>46116</v>
      </c>
      <c r="CX9" s="32">
        <f t="shared" si="7"/>
        <v>46117</v>
      </c>
      <c r="CY9" s="32">
        <f t="shared" si="7"/>
        <v>46118</v>
      </c>
      <c r="CZ9" s="32">
        <f t="shared" si="7"/>
        <v>46119</v>
      </c>
      <c r="DA9" s="32">
        <f t="shared" si="7"/>
        <v>46120</v>
      </c>
      <c r="DB9" s="32">
        <f t="shared" si="7"/>
        <v>46121</v>
      </c>
      <c r="DC9" s="32">
        <f t="shared" si="7"/>
        <v>46122</v>
      </c>
      <c r="DD9" s="32">
        <f t="shared" si="7"/>
        <v>46123</v>
      </c>
      <c r="DE9" s="32">
        <f t="shared" si="7"/>
        <v>46124</v>
      </c>
      <c r="DF9" s="32">
        <f t="shared" si="7"/>
        <v>46125</v>
      </c>
      <c r="DG9" s="32">
        <f t="shared" si="7"/>
        <v>46126</v>
      </c>
      <c r="DH9" s="32">
        <f t="shared" si="7"/>
        <v>46127</v>
      </c>
      <c r="DI9" s="32">
        <f t="shared" si="7"/>
        <v>46128</v>
      </c>
      <c r="DJ9" s="32">
        <f t="shared" si="7"/>
        <v>46129</v>
      </c>
      <c r="DK9" s="32">
        <f t="shared" si="7"/>
        <v>46130</v>
      </c>
      <c r="DL9" s="32">
        <f t="shared" si="8"/>
        <v>46131</v>
      </c>
      <c r="DM9" s="32">
        <f t="shared" si="8"/>
        <v>46132</v>
      </c>
      <c r="DN9" s="32">
        <f t="shared" si="8"/>
        <v>46133</v>
      </c>
      <c r="DO9" s="32">
        <f t="shared" si="8"/>
        <v>46134</v>
      </c>
      <c r="DP9" s="32">
        <f t="shared" si="8"/>
        <v>46135</v>
      </c>
      <c r="DQ9" s="32">
        <f t="shared" si="8"/>
        <v>46136</v>
      </c>
      <c r="DR9" s="32">
        <f t="shared" si="8"/>
        <v>46137</v>
      </c>
      <c r="DS9" s="32">
        <f t="shared" si="8"/>
        <v>46138</v>
      </c>
      <c r="DT9" s="32">
        <f t="shared" si="8"/>
        <v>46139</v>
      </c>
      <c r="DU9" s="32">
        <f t="shared" si="8"/>
        <v>46140</v>
      </c>
      <c r="DV9" s="32">
        <f t="shared" si="8"/>
        <v>46141</v>
      </c>
      <c r="DW9" s="32">
        <f t="shared" si="8"/>
        <v>46142</v>
      </c>
      <c r="DX9" s="32">
        <f t="shared" si="8"/>
        <v>46143</v>
      </c>
      <c r="DY9" s="32">
        <f t="shared" si="8"/>
        <v>46144</v>
      </c>
      <c r="DZ9" s="32">
        <f t="shared" si="8"/>
        <v>46145</v>
      </c>
      <c r="EA9" s="32">
        <f t="shared" si="8"/>
        <v>46146</v>
      </c>
      <c r="EB9" s="32">
        <f t="shared" si="9"/>
        <v>46147</v>
      </c>
      <c r="EC9" s="32">
        <f t="shared" si="9"/>
        <v>46148</v>
      </c>
      <c r="ED9" s="32">
        <f t="shared" si="9"/>
        <v>46149</v>
      </c>
      <c r="EE9" s="32">
        <f t="shared" si="9"/>
        <v>46150</v>
      </c>
      <c r="EF9" s="32">
        <f t="shared" si="9"/>
        <v>46151</v>
      </c>
      <c r="EG9" s="32">
        <f t="shared" si="9"/>
        <v>46152</v>
      </c>
      <c r="EH9" s="32">
        <f t="shared" si="9"/>
        <v>46153</v>
      </c>
    </row>
    <row r="10" spans="2:138" s="11" customFormat="1" ht="24.95" customHeight="1">
      <c r="B10" s="133">
        <v>1</v>
      </c>
      <c r="C10" s="134" t="s">
        <v>9</v>
      </c>
      <c r="D10" s="134"/>
      <c r="E10" s="87" t="s">
        <v>42</v>
      </c>
      <c r="F10" s="33">
        <f>MIN(F11:F16)</f>
        <v>46033</v>
      </c>
      <c r="G10" s="33">
        <f>MAX(G11:G16)</f>
        <v>46058</v>
      </c>
      <c r="H10" s="35">
        <f>IF(F10=0,"",G10-F10+1)</f>
        <v>26</v>
      </c>
      <c r="I10" s="59">
        <f>IFERROR(SUMPRODUCT(H11:H16,I11:I16)/SUM(H11:H16),"")</f>
        <v>0.59523809523809523</v>
      </c>
      <c r="J10" s="33">
        <f>IF(MAX(J11:J16)="","",MAX(J11:J16))</f>
        <v>46058</v>
      </c>
      <c r="K10" s="24">
        <f>J10-F10+1</f>
        <v>26</v>
      </c>
      <c r="L10" s="33"/>
      <c r="M10" s="35">
        <f>NETWORKDAYS(F10,G10)</f>
        <v>19</v>
      </c>
      <c r="N10" s="35">
        <f>NETWORKDAYS(F10,J10)</f>
        <v>19</v>
      </c>
      <c r="O10" s="35">
        <f>IFERROR(ROUNDDOWN(I10*H10,0),"")</f>
        <v>15</v>
      </c>
      <c r="P10" s="35">
        <f>IFERROR(ROUNDDOWN(I10*K10,0),"")</f>
        <v>15</v>
      </c>
      <c r="Q10" s="40">
        <f>IFERROR(H10-O10,"")</f>
        <v>11</v>
      </c>
      <c r="R10" s="12">
        <f>K10-P10</f>
        <v>11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2:138" s="11" customFormat="1" ht="22.35" customHeight="1">
      <c r="B11" s="45">
        <v>1.1000000000000001</v>
      </c>
      <c r="C11" s="63" t="s">
        <v>43</v>
      </c>
      <c r="D11" s="66"/>
      <c r="E11" s="25" t="s">
        <v>42</v>
      </c>
      <c r="F11" s="51">
        <v>46033</v>
      </c>
      <c r="G11" s="51">
        <v>46037</v>
      </c>
      <c r="H11" s="36">
        <f t="shared" ref="H11:H16" si="10">IF(F11="","",G11-F11+1)</f>
        <v>5</v>
      </c>
      <c r="I11" s="58">
        <v>1</v>
      </c>
      <c r="J11" s="86">
        <f>G11</f>
        <v>46037</v>
      </c>
      <c r="K11" s="37">
        <f t="shared" ref="K11:K16" si="11">IF(F11="","",J11-F11+1)</f>
        <v>5</v>
      </c>
      <c r="L11" s="69" t="str">
        <f>IF(J11&gt;G11,J11-G11,"")</f>
        <v/>
      </c>
      <c r="M11" s="39">
        <f>NETWORKDAYS(F11,G11)</f>
        <v>4</v>
      </c>
      <c r="N11" s="39">
        <f>NETWORKDAYS(F11,J11)</f>
        <v>4</v>
      </c>
      <c r="O11" s="41">
        <f>IFERROR(ROUNDDOWN(I11*H11,0),"")</f>
        <v>5</v>
      </c>
      <c r="P11" s="39">
        <f>IFERROR(ROUNDDOWN(I11*K11,0),"")</f>
        <v>5</v>
      </c>
      <c r="Q11" s="52">
        <f>IFERROR(K11-P11,"")</f>
        <v>0</v>
      </c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</row>
    <row r="12" spans="2:138" s="11" customFormat="1" ht="22.35" customHeight="1">
      <c r="B12" s="46">
        <v>1.2</v>
      </c>
      <c r="C12" s="62" t="s">
        <v>44</v>
      </c>
      <c r="D12" s="64"/>
      <c r="E12" s="25" t="s">
        <v>42</v>
      </c>
      <c r="F12" s="51">
        <v>46035</v>
      </c>
      <c r="G12" s="51">
        <v>46037</v>
      </c>
      <c r="H12" s="37">
        <f t="shared" si="10"/>
        <v>3</v>
      </c>
      <c r="I12" s="58">
        <v>1</v>
      </c>
      <c r="J12" s="86">
        <f t="shared" ref="J12:J16" si="12">G12</f>
        <v>46037</v>
      </c>
      <c r="K12" s="37">
        <f t="shared" si="11"/>
        <v>3</v>
      </c>
      <c r="L12" s="69" t="str">
        <f t="shared" ref="L12:L21" si="13">IF(J12&gt;G12,J12-G12,"")</f>
        <v/>
      </c>
      <c r="M12" s="39">
        <f>NETWORKDAYS(F12,G12)</f>
        <v>3</v>
      </c>
      <c r="N12" s="39">
        <f>NETWORKDAYS(F12,J12)</f>
        <v>3</v>
      </c>
      <c r="O12" s="41">
        <f>IFERROR(ROUNDDOWN(I12*H12,0),"")</f>
        <v>3</v>
      </c>
      <c r="P12" s="39">
        <f>IFERROR(ROUNDDOWN(I12*K12,0),"")</f>
        <v>3</v>
      </c>
      <c r="Q12" s="52">
        <f>IFERROR(K12-P12,"")</f>
        <v>0</v>
      </c>
      <c r="R12" s="16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</row>
    <row r="13" spans="2:138" s="11" customFormat="1" ht="22.35" customHeight="1">
      <c r="B13" s="45">
        <v>1.3</v>
      </c>
      <c r="C13" s="62" t="s">
        <v>45</v>
      </c>
      <c r="D13" s="64"/>
      <c r="E13" s="25" t="s">
        <v>42</v>
      </c>
      <c r="F13" s="51">
        <v>46035</v>
      </c>
      <c r="G13" s="51">
        <v>46037</v>
      </c>
      <c r="H13" s="37">
        <f t="shared" si="10"/>
        <v>3</v>
      </c>
      <c r="I13" s="58">
        <v>0.5</v>
      </c>
      <c r="J13" s="86">
        <f t="shared" si="12"/>
        <v>46037</v>
      </c>
      <c r="K13" s="37">
        <f t="shared" si="11"/>
        <v>3</v>
      </c>
      <c r="L13" s="69" t="str">
        <f t="shared" si="13"/>
        <v/>
      </c>
      <c r="M13" s="39">
        <f t="shared" ref="M13:M16" si="14">NETWORKDAYS(F13,G13)</f>
        <v>3</v>
      </c>
      <c r="N13" s="39">
        <f t="shared" ref="N13:N16" si="15">NETWORKDAYS(F13,J13)</f>
        <v>3</v>
      </c>
      <c r="O13" s="41">
        <f t="shared" ref="O13:O16" si="16">IFERROR(ROUNDDOWN(I13*H13,0),"")</f>
        <v>1</v>
      </c>
      <c r="P13" s="39">
        <f t="shared" ref="P13:P16" si="17">IFERROR(ROUNDDOWN(I13*K13,0),"")</f>
        <v>1</v>
      </c>
      <c r="Q13" s="52">
        <f t="shared" ref="Q13:Q16" si="18">IFERROR(K13-P13,"")</f>
        <v>2</v>
      </c>
      <c r="R13" s="1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</row>
    <row r="14" spans="2:138" s="11" customFormat="1" ht="22.35" customHeight="1">
      <c r="B14" s="46">
        <v>1.4000000000000001</v>
      </c>
      <c r="C14" s="62" t="s">
        <v>46</v>
      </c>
      <c r="D14" s="64"/>
      <c r="E14" s="25" t="s">
        <v>42</v>
      </c>
      <c r="F14" s="51">
        <v>46035</v>
      </c>
      <c r="G14" s="51">
        <v>46037</v>
      </c>
      <c r="H14" s="37">
        <f t="shared" si="10"/>
        <v>3</v>
      </c>
      <c r="I14" s="58">
        <v>1</v>
      </c>
      <c r="J14" s="86">
        <f t="shared" si="12"/>
        <v>46037</v>
      </c>
      <c r="K14" s="37">
        <f t="shared" si="11"/>
        <v>3</v>
      </c>
      <c r="L14" s="69" t="str">
        <f t="shared" si="13"/>
        <v/>
      </c>
      <c r="M14" s="39">
        <f t="shared" si="14"/>
        <v>3</v>
      </c>
      <c r="N14" s="39">
        <f t="shared" si="15"/>
        <v>3</v>
      </c>
      <c r="O14" s="41">
        <f t="shared" si="16"/>
        <v>3</v>
      </c>
      <c r="P14" s="39">
        <f t="shared" si="17"/>
        <v>3</v>
      </c>
      <c r="Q14" s="52">
        <f t="shared" si="18"/>
        <v>0</v>
      </c>
      <c r="R14" s="16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</row>
    <row r="15" spans="2:138" s="11" customFormat="1" ht="22.35" customHeight="1">
      <c r="B15" s="45">
        <v>1.5000000000000002</v>
      </c>
      <c r="C15" s="62" t="s">
        <v>47</v>
      </c>
      <c r="D15" s="64"/>
      <c r="E15" s="25" t="s">
        <v>48</v>
      </c>
      <c r="F15" s="51">
        <v>46052</v>
      </c>
      <c r="G15" s="51">
        <v>46058</v>
      </c>
      <c r="H15" s="37">
        <f t="shared" si="10"/>
        <v>7</v>
      </c>
      <c r="I15" s="58">
        <v>0</v>
      </c>
      <c r="J15" s="86">
        <f t="shared" si="12"/>
        <v>46058</v>
      </c>
      <c r="K15" s="37">
        <f t="shared" si="11"/>
        <v>7</v>
      </c>
      <c r="L15" s="69" t="str">
        <f t="shared" si="13"/>
        <v/>
      </c>
      <c r="M15" s="39">
        <f t="shared" si="14"/>
        <v>5</v>
      </c>
      <c r="N15" s="39">
        <f t="shared" si="15"/>
        <v>5</v>
      </c>
      <c r="O15" s="41">
        <f t="shared" si="16"/>
        <v>0</v>
      </c>
      <c r="P15" s="39">
        <f t="shared" si="17"/>
        <v>0</v>
      </c>
      <c r="Q15" s="52">
        <f t="shared" si="18"/>
        <v>7</v>
      </c>
      <c r="R15" s="16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</row>
    <row r="16" spans="2:138" s="11" customFormat="1" ht="22.35" customHeight="1">
      <c r="B16" s="46">
        <v>1.6</v>
      </c>
      <c r="C16" s="79" t="s">
        <v>49</v>
      </c>
      <c r="D16" s="80"/>
      <c r="E16" s="81" t="s">
        <v>50</v>
      </c>
      <c r="F16" s="51"/>
      <c r="G16" s="73"/>
      <c r="H16" s="82" t="str">
        <f t="shared" si="10"/>
        <v/>
      </c>
      <c r="I16" s="75">
        <v>0</v>
      </c>
      <c r="J16" s="86">
        <f t="shared" si="12"/>
        <v>0</v>
      </c>
      <c r="K16" s="82" t="str">
        <f t="shared" si="11"/>
        <v/>
      </c>
      <c r="L16" s="76" t="str">
        <f t="shared" si="13"/>
        <v/>
      </c>
      <c r="M16" s="83">
        <f t="shared" si="14"/>
        <v>0</v>
      </c>
      <c r="N16" s="83">
        <f t="shared" si="15"/>
        <v>0</v>
      </c>
      <c r="O16" s="84" t="str">
        <f t="shared" si="16"/>
        <v/>
      </c>
      <c r="P16" s="83" t="str">
        <f t="shared" si="17"/>
        <v/>
      </c>
      <c r="Q16" s="85" t="str">
        <f t="shared" si="18"/>
        <v/>
      </c>
      <c r="R16" s="16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</row>
    <row r="17" spans="2:138" s="11" customFormat="1" ht="24.95" customHeight="1">
      <c r="B17" s="135">
        <v>2</v>
      </c>
      <c r="C17" s="136" t="s">
        <v>10</v>
      </c>
      <c r="D17" s="136"/>
      <c r="E17" s="88" t="s">
        <v>51</v>
      </c>
      <c r="F17" s="34">
        <f>MIN(F18:F26)</f>
        <v>46031</v>
      </c>
      <c r="G17" s="34">
        <f>MAX(G18:G26)</f>
        <v>46072</v>
      </c>
      <c r="H17" s="38">
        <f>IF(F17=0,"",G17-F17+1)</f>
        <v>42</v>
      </c>
      <c r="I17" s="60">
        <f>IFERROR(SUMPRODUCT(H18:H26,I18:I26)/SUM(H18:H26),"")</f>
        <v>0.27906976744186046</v>
      </c>
      <c r="J17" s="34">
        <f>IF(MAX(J18:J26)="","",MAX(J18:J26))</f>
        <v>46052</v>
      </c>
      <c r="K17" s="26">
        <f>J17-F17+1</f>
        <v>22</v>
      </c>
      <c r="L17" s="34"/>
      <c r="M17" s="38">
        <f>NETWORKDAYS(F17,G17)</f>
        <v>30</v>
      </c>
      <c r="N17" s="38">
        <f>NETWORKDAYS(F17,J17)</f>
        <v>16</v>
      </c>
      <c r="O17" s="38">
        <f>IFERROR(ROUNDDOWN(I17*H17,0),"")</f>
        <v>11</v>
      </c>
      <c r="P17" s="38">
        <f>IFERROR(ROUNDDOWN(I17*K17,0),"")</f>
        <v>6</v>
      </c>
      <c r="Q17" s="42">
        <f>IFERROR(H17-O17,"")</f>
        <v>31</v>
      </c>
      <c r="R17" s="18">
        <f>K17-P17</f>
        <v>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</row>
    <row r="18" spans="2:138" s="11" customFormat="1" ht="22.35" customHeight="1">
      <c r="B18" s="45">
        <v>2.1</v>
      </c>
      <c r="C18" s="63" t="s">
        <v>52</v>
      </c>
      <c r="D18" s="66"/>
      <c r="E18" s="25" t="s">
        <v>53</v>
      </c>
      <c r="F18" s="51">
        <v>46035</v>
      </c>
      <c r="G18" s="51">
        <v>46037</v>
      </c>
      <c r="H18" s="36">
        <f t="shared" ref="H18:H22" si="19">IF(F18="","",G18-F18+1)</f>
        <v>3</v>
      </c>
      <c r="I18" s="58">
        <v>1</v>
      </c>
      <c r="J18" s="86">
        <f>G18</f>
        <v>46037</v>
      </c>
      <c r="K18" s="37">
        <f>IF(F18="","",J18-F18+1)</f>
        <v>3</v>
      </c>
      <c r="L18" s="69" t="str">
        <f t="shared" si="13"/>
        <v/>
      </c>
      <c r="M18" s="39">
        <f t="shared" ref="M18:M21" si="20">NETWORKDAYS(F18,G18)</f>
        <v>3</v>
      </c>
      <c r="N18" s="39">
        <f t="shared" ref="N18:N22" si="21">NETWORKDAYS(F18,J18)</f>
        <v>3</v>
      </c>
      <c r="O18" s="41">
        <f t="shared" ref="O18:O21" si="22">IFERROR(ROUNDDOWN(I18*H18,0),"")</f>
        <v>3</v>
      </c>
      <c r="P18" s="39">
        <f t="shared" ref="P18:P21" si="23">IFERROR(ROUNDDOWN(I18*K18,0),"")</f>
        <v>3</v>
      </c>
      <c r="Q18" s="52">
        <f t="shared" ref="Q18:Q21" si="24">IFERROR(K18-P18,"")</f>
        <v>0</v>
      </c>
      <c r="R18" s="16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</row>
    <row r="19" spans="2:138" s="11" customFormat="1" ht="22.35" customHeight="1">
      <c r="B19" s="46">
        <v>2.2000000000000002</v>
      </c>
      <c r="C19" s="70" t="s">
        <v>54</v>
      </c>
      <c r="D19" s="68"/>
      <c r="E19" s="25" t="s">
        <v>53</v>
      </c>
      <c r="F19" s="51">
        <v>46035</v>
      </c>
      <c r="G19" s="51">
        <v>46037</v>
      </c>
      <c r="H19" s="36">
        <f t="shared" si="19"/>
        <v>3</v>
      </c>
      <c r="I19" s="58">
        <v>1</v>
      </c>
      <c r="J19" s="86">
        <f t="shared" ref="J19:J20" si="25">G19</f>
        <v>46037</v>
      </c>
      <c r="K19" s="37">
        <f t="shared" ref="K19:K20" si="26">IF(F19="","",J19-F19+1)</f>
        <v>3</v>
      </c>
      <c r="L19" s="69"/>
      <c r="M19" s="39"/>
      <c r="N19" s="39">
        <f t="shared" ref="N19:N20" si="27">NETWORKDAYS(F19,J19)</f>
        <v>3</v>
      </c>
      <c r="O19" s="41">
        <f t="shared" ref="O19:O20" si="28">IFERROR(ROUNDDOWN(I19*H19,0),"")</f>
        <v>3</v>
      </c>
      <c r="P19" s="39">
        <f t="shared" ref="P19:P20" si="29">IFERROR(ROUNDDOWN(I19*K19,0),"")</f>
        <v>3</v>
      </c>
      <c r="Q19" s="52">
        <f t="shared" ref="Q19:Q20" si="30">IFERROR(K19-P19,"")</f>
        <v>0</v>
      </c>
      <c r="R19" s="1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</row>
    <row r="20" spans="2:138" s="11" customFormat="1" ht="22.35" customHeight="1">
      <c r="B20" s="45">
        <v>2.2999999999999998</v>
      </c>
      <c r="C20" s="70" t="s">
        <v>55</v>
      </c>
      <c r="D20" s="68"/>
      <c r="E20" s="25" t="s">
        <v>56</v>
      </c>
      <c r="F20" s="51">
        <v>46035</v>
      </c>
      <c r="G20" s="51">
        <v>46037</v>
      </c>
      <c r="H20" s="36">
        <f t="shared" si="19"/>
        <v>3</v>
      </c>
      <c r="I20" s="58">
        <v>1</v>
      </c>
      <c r="J20" s="86">
        <f t="shared" si="25"/>
        <v>46037</v>
      </c>
      <c r="K20" s="37">
        <f t="shared" si="26"/>
        <v>3</v>
      </c>
      <c r="L20" s="69"/>
      <c r="M20" s="39"/>
      <c r="N20" s="39">
        <f t="shared" si="27"/>
        <v>3</v>
      </c>
      <c r="O20" s="41">
        <f t="shared" si="28"/>
        <v>3</v>
      </c>
      <c r="P20" s="39">
        <f t="shared" si="29"/>
        <v>3</v>
      </c>
      <c r="Q20" s="52">
        <f t="shared" si="30"/>
        <v>0</v>
      </c>
      <c r="R20" s="16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</row>
    <row r="21" spans="2:138" s="11" customFormat="1" ht="22.35" customHeight="1">
      <c r="B21" s="46">
        <v>2.4</v>
      </c>
      <c r="C21" s="89" t="s">
        <v>57</v>
      </c>
      <c r="D21" s="64"/>
      <c r="E21" s="25" t="s">
        <v>58</v>
      </c>
      <c r="F21" s="51">
        <v>46035</v>
      </c>
      <c r="G21" s="51">
        <v>46037</v>
      </c>
      <c r="H21" s="37">
        <f t="shared" si="19"/>
        <v>3</v>
      </c>
      <c r="I21" s="58">
        <v>1</v>
      </c>
      <c r="J21" s="86">
        <f t="shared" ref="J21:J22" si="31">G21</f>
        <v>46037</v>
      </c>
      <c r="K21" s="37">
        <f t="shared" ref="K21:K22" si="32">IF(F21="","",J21-F21+1)</f>
        <v>3</v>
      </c>
      <c r="L21" s="69" t="str">
        <f t="shared" si="13"/>
        <v/>
      </c>
      <c r="M21" s="39">
        <f t="shared" si="20"/>
        <v>3</v>
      </c>
      <c r="N21" s="39">
        <f t="shared" si="21"/>
        <v>3</v>
      </c>
      <c r="O21" s="41">
        <f t="shared" si="22"/>
        <v>3</v>
      </c>
      <c r="P21" s="39">
        <f t="shared" si="23"/>
        <v>3</v>
      </c>
      <c r="Q21" s="52">
        <f t="shared" si="24"/>
        <v>0</v>
      </c>
      <c r="R21" s="16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</row>
    <row r="22" spans="2:138" s="11" customFormat="1" ht="22.35" customHeight="1">
      <c r="B22" s="46">
        <v>2.5</v>
      </c>
      <c r="C22" s="89" t="s">
        <v>59</v>
      </c>
      <c r="D22" s="64"/>
      <c r="E22" s="25" t="s">
        <v>60</v>
      </c>
      <c r="F22" s="51">
        <v>46052</v>
      </c>
      <c r="G22" s="51">
        <v>46052</v>
      </c>
      <c r="H22" s="37">
        <f t="shared" si="19"/>
        <v>1</v>
      </c>
      <c r="I22" s="58"/>
      <c r="J22" s="86">
        <f t="shared" si="31"/>
        <v>46052</v>
      </c>
      <c r="K22" s="37">
        <f t="shared" si="32"/>
        <v>1</v>
      </c>
      <c r="L22" s="69"/>
      <c r="M22" s="39"/>
      <c r="N22" s="39">
        <f t="shared" si="21"/>
        <v>1</v>
      </c>
      <c r="O22" s="41"/>
      <c r="P22" s="39"/>
      <c r="Q22" s="52"/>
      <c r="R22" s="16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</row>
    <row r="23" spans="2:138" s="11" customFormat="1" ht="22.35" customHeight="1">
      <c r="B23" s="46">
        <v>2.6</v>
      </c>
      <c r="C23" s="89" t="s">
        <v>61</v>
      </c>
      <c r="D23" s="64"/>
      <c r="E23" s="25" t="s">
        <v>62</v>
      </c>
      <c r="F23" s="51"/>
      <c r="G23" s="51"/>
      <c r="H23" s="37"/>
      <c r="I23" s="58"/>
      <c r="J23" s="86">
        <f t="shared" ref="J23" si="33">G23</f>
        <v>0</v>
      </c>
      <c r="K23" s="37" t="str">
        <f t="shared" ref="K23" si="34">IF(F23="","",J23-F23+1)</f>
        <v/>
      </c>
      <c r="L23" s="69"/>
      <c r="M23" s="39"/>
      <c r="N23" s="39">
        <f t="shared" ref="N23" si="35">NETWORKDAYS(F23,J23)</f>
        <v>0</v>
      </c>
      <c r="O23" s="41"/>
      <c r="P23" s="39"/>
      <c r="Q23" s="52"/>
      <c r="R23" s="16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</row>
    <row r="24" spans="2:138" s="11" customFormat="1" ht="22.35" customHeight="1">
      <c r="B24" s="137">
        <v>3</v>
      </c>
      <c r="C24" s="138" t="s">
        <v>63</v>
      </c>
      <c r="D24" s="139"/>
      <c r="E24" s="131"/>
      <c r="F24" s="34">
        <f>MIN(F25:F33)</f>
        <v>46031</v>
      </c>
      <c r="G24" s="34">
        <f>MAX(G25:G26)</f>
        <v>46072</v>
      </c>
      <c r="H24" s="158"/>
      <c r="I24" s="132"/>
      <c r="J24" s="159"/>
      <c r="K24" s="158"/>
      <c r="L24" s="160"/>
      <c r="M24" s="161"/>
      <c r="N24" s="161"/>
      <c r="O24" s="162"/>
      <c r="P24" s="161"/>
      <c r="Q24" s="163"/>
      <c r="R24" s="16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</row>
    <row r="25" spans="2:138" s="11" customFormat="1" ht="22.35" customHeight="1">
      <c r="B25" s="46">
        <v>3.1</v>
      </c>
      <c r="C25" s="62" t="s">
        <v>64</v>
      </c>
      <c r="D25" s="64"/>
      <c r="E25" s="25" t="s">
        <v>65</v>
      </c>
      <c r="F25" s="51">
        <v>46062</v>
      </c>
      <c r="G25" s="51">
        <v>46064</v>
      </c>
      <c r="H25" s="37"/>
      <c r="I25" s="58"/>
      <c r="J25" s="86"/>
      <c r="K25" s="37"/>
      <c r="L25" s="69"/>
      <c r="M25" s="39"/>
      <c r="N25" s="39"/>
      <c r="O25" s="41"/>
      <c r="P25" s="39"/>
      <c r="Q25" s="52"/>
      <c r="R25" s="16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</row>
    <row r="26" spans="2:138" s="11" customFormat="1" ht="22.35" customHeight="1">
      <c r="B26" s="45">
        <v>3.2</v>
      </c>
      <c r="C26" s="62" t="s">
        <v>66</v>
      </c>
      <c r="D26" s="64"/>
      <c r="E26" s="25" t="s">
        <v>48</v>
      </c>
      <c r="F26" s="51">
        <v>46031</v>
      </c>
      <c r="G26" s="51">
        <f>WORKDAY(F26, H26-1)</f>
        <v>46072</v>
      </c>
      <c r="H26" s="37">
        <v>30</v>
      </c>
      <c r="I26" s="58"/>
      <c r="J26" s="86"/>
      <c r="K26" s="37"/>
      <c r="L26" s="69"/>
      <c r="M26" s="39"/>
      <c r="N26" s="39"/>
      <c r="O26" s="41"/>
      <c r="P26" s="39"/>
      <c r="Q26" s="52"/>
      <c r="R26" s="16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</row>
    <row r="27" spans="2:138" ht="17.25" customHeight="1">
      <c r="B27" s="45">
        <v>3.3</v>
      </c>
      <c r="C27" s="62" t="s">
        <v>67</v>
      </c>
      <c r="D27" s="64"/>
      <c r="E27" s="25" t="s">
        <v>65</v>
      </c>
      <c r="F27" s="51">
        <v>46086</v>
      </c>
      <c r="G27" s="51">
        <f>WORKDAY(F27, H27-1)</f>
        <v>46092</v>
      </c>
      <c r="H27" s="37">
        <v>5</v>
      </c>
      <c r="I27" s="58"/>
      <c r="J27" s="86"/>
      <c r="K27" s="37"/>
      <c r="L27" s="69"/>
      <c r="M27" s="39"/>
      <c r="N27" s="39"/>
      <c r="O27" s="41"/>
      <c r="P27" s="39"/>
      <c r="Q27" s="52"/>
    </row>
    <row r="28" spans="2:138">
      <c r="D28" s="64"/>
    </row>
  </sheetData>
  <mergeCells count="8">
    <mergeCell ref="AJ4:AL4"/>
    <mergeCell ref="D6:E6"/>
    <mergeCell ref="C9:D9"/>
    <mergeCell ref="D4:E4"/>
    <mergeCell ref="T4:V4"/>
    <mergeCell ref="X4:Z4"/>
    <mergeCell ref="AB4:AD4"/>
    <mergeCell ref="AF4:AH4"/>
  </mergeCells>
  <phoneticPr fontId="39" type="noConversion"/>
  <conditionalFormatting sqref="I10">
    <cfRule type="dataBar" priority="45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{44EBDC92-EA33-410F-B253-EEE4AF378543}</x14:id>
        </ext>
      </extLst>
    </cfRule>
  </conditionalFormatting>
  <conditionalFormatting sqref="I11:I13 I16 I18:I27">
    <cfRule type="dataBar" priority="4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{4C0769E7-048E-44F8-9FCA-C19B8BDA0C12}</x14:id>
        </ext>
      </extLst>
    </cfRule>
  </conditionalFormatting>
  <conditionalFormatting sqref="I11:I13 I16">
    <cfRule type="dataBar" priority="4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{3C0F938C-7582-4590-8B34-95C3EF1A3C27}</x14:id>
        </ext>
      </extLst>
    </cfRule>
  </conditionalFormatting>
  <conditionalFormatting sqref="I14">
    <cfRule type="dataBar" priority="10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{A3ACF2BB-BCC5-4AC0-9917-9BC1B9D813E7}</x14:id>
        </ext>
      </extLst>
    </cfRule>
    <cfRule type="dataBar" priority="1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{54411B48-1612-4495-A132-FA9858FE4212}</x14:id>
        </ext>
      </extLst>
    </cfRule>
    <cfRule type="dataBar" priority="1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{AE8B0C0C-CBEA-4544-A67C-4423133F540A}</x14:id>
        </ext>
      </extLst>
    </cfRule>
  </conditionalFormatting>
  <conditionalFormatting sqref="I15">
    <cfRule type="dataBar" priority="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{954C2E55-7A1C-44B8-84D7-266EEAD8D2B9}</x14:id>
        </ext>
      </extLst>
    </cfRule>
    <cfRule type="dataBar" priority="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{EB045FE2-DA58-4D6D-A195-2E9749231D27}</x14:id>
        </ext>
      </extLst>
    </cfRule>
    <cfRule type="dataBar" priority="9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{59C2A6BF-618C-4963-BC7A-2DE6AC80DD6F}</x14:id>
        </ext>
      </extLst>
    </cfRule>
  </conditionalFormatting>
  <conditionalFormatting sqref="I17">
    <cfRule type="dataBar" priority="22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{8F15330E-608C-4589-BDCA-5AC508098B2F}</x14:id>
        </ext>
      </extLst>
    </cfRule>
  </conditionalFormatting>
  <conditionalFormatting sqref="J11:J16 L11:L16">
    <cfRule type="expression" dxfId="83" priority="5">
      <formula>$G11&lt;$J11</formula>
    </cfRule>
  </conditionalFormatting>
  <conditionalFormatting sqref="J18:J27 L18:L27">
    <cfRule type="expression" dxfId="82" priority="49">
      <formula>$G18&lt;$J18</formula>
    </cfRule>
  </conditionalFormatting>
  <conditionalFormatting sqref="S9:DY26">
    <cfRule type="expression" dxfId="81" priority="4">
      <formula>S$9=$D$4</formula>
    </cfRule>
  </conditionalFormatting>
  <conditionalFormatting sqref="S7:EH7">
    <cfRule type="expression" dxfId="80" priority="46">
      <formula>YEAR(S7)=YEAR(S9)</formula>
    </cfRule>
  </conditionalFormatting>
  <conditionalFormatting sqref="S8:EH8">
    <cfRule type="expression" dxfId="79" priority="47">
      <formula>S$9=$D$4</formula>
    </cfRule>
  </conditionalFormatting>
  <conditionalFormatting sqref="S8:EH9">
    <cfRule type="expression" dxfId="78" priority="40">
      <formula>WEEKDAY(S$9,2)=6</formula>
    </cfRule>
    <cfRule type="expression" dxfId="77" priority="41">
      <formula>WEEKDAY(S$9,2)=7</formula>
    </cfRule>
  </conditionalFormatting>
  <conditionalFormatting sqref="S10:EH10 S17:EH17">
    <cfRule type="expression" dxfId="76" priority="51">
      <formula>IF($K10&gt;$H10,AND(S$9&gt;=$F10,S$9&lt;=$J10-$R10),AND(S$9&gt;=$F10,S$9&lt;=$G10-$Q10))</formula>
    </cfRule>
    <cfRule type="expression" dxfId="75" priority="53">
      <formula>AND(S$9&gt;=$F10,S$9&lt;=$G10)</formula>
    </cfRule>
  </conditionalFormatting>
  <conditionalFormatting sqref="S10:EH13 S16:EH26">
    <cfRule type="expression" dxfId="74" priority="52">
      <formula>AND(S$9&gt;$G10,S$9&lt;=$J10)</formula>
    </cfRule>
  </conditionalFormatting>
  <conditionalFormatting sqref="S11:EH13 S16:EH16 S18:EH26">
    <cfRule type="expression" dxfId="73" priority="54">
      <formula>AND(S$9&gt;=$F11,S$9&lt;=$G11)</formula>
    </cfRule>
  </conditionalFormatting>
  <conditionalFormatting sqref="S11:EH16">
    <cfRule type="expression" dxfId="72" priority="6">
      <formula>IF($K11&gt;$H11,AND(S$9&gt;=$F11,S$9&lt;=$J11-$Q11),AND(S$9&gt;=$F11,S$9&lt;=$G11-$Q11))</formula>
    </cfRule>
  </conditionalFormatting>
  <conditionalFormatting sqref="S14:EH15">
    <cfRule type="expression" dxfId="71" priority="7">
      <formula>AND(S$9&gt;$G14,S$9&lt;=$J14)</formula>
    </cfRule>
    <cfRule type="expression" dxfId="70" priority="8">
      <formula>AND(S$9&gt;=$F14,S$9&lt;=$G14)</formula>
    </cfRule>
  </conditionalFormatting>
  <conditionalFormatting sqref="S18:EH26">
    <cfRule type="expression" dxfId="69" priority="50">
      <formula>IF($K18&gt;$H18,AND(S$9&gt;=$F18,S$9&lt;=$J18-$Q18),AND(S$9&gt;=$F18,S$9&lt;=$G18-$Q18))</formula>
    </cfRule>
  </conditionalFormatting>
  <conditionalFormatting sqref="DZ9:EH9">
    <cfRule type="expression" dxfId="68" priority="48">
      <formula>DZ$9=$D$4</formula>
    </cfRule>
  </conditionalFormatting>
  <dataValidations disablePrompts="1" count="1">
    <dataValidation type="list" allowBlank="1" showInputMessage="1" showErrorMessage="1" sqref="D6:E6" xr:uid="{00000000-0002-0000-0100-000000000000}">
      <formula1>"월요일,화요일,수요일,목요일,금요일,토요일,일요일"</formula1>
    </dataValidation>
  </dataValidations>
  <pageMargins left="0.69999998807907104" right="0.69999998807907104" top="0.75" bottom="0.75" header="0.30000001192092896" footer="0.30000001192092896"/>
  <pageSetup paperSize="8" scale="87" fitToWidth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EBDC92-EA33-410F-B253-EEE4AF3785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4C0769E7-048E-44F8-9FCA-C19B8BDA0C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I11:I13 I16 I18:I27</xm:sqref>
        </x14:conditionalFormatting>
        <x14:conditionalFormatting xmlns:xm="http://schemas.microsoft.com/office/excel/2006/main">
          <x14:cfRule type="dataBar" id="{3C0F938C-7582-4590-8B34-95C3EF1A3C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I11:I13 I16</xm:sqref>
        </x14:conditionalFormatting>
        <x14:conditionalFormatting xmlns:xm="http://schemas.microsoft.com/office/excel/2006/main">
          <x14:cfRule type="dataBar" id="{A3ACF2BB-BCC5-4AC0-9917-9BC1B9D813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4411B48-1612-4495-A132-FA9858FE42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8B0C0C-CBEA-4544-A67C-4423133F540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954C2E55-7A1C-44B8-84D7-266EEAD8D2B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045FE2-DA58-4D6D-A195-2E9749231D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9C2A6BF-618C-4963-BC7A-2DE6AC80DD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8F15330E-608C-4589-BDCA-5AC508098B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B1:EH37"/>
  <sheetViews>
    <sheetView zoomScaleNormal="75" zoomScaleSheetLayoutView="100" workbookViewId="0">
      <pane xSplit="18" ySplit="9" topLeftCell="CU14" activePane="bottomRight" state="frozen"/>
      <selection pane="bottomRight" activeCell="D22" sqref="D22"/>
      <selection pane="bottomLeft"/>
      <selection pane="topRight"/>
    </sheetView>
  </sheetViews>
  <sheetFormatPr defaultColWidth="9.125" defaultRowHeight="13.5" outlineLevelCol="1"/>
  <cols>
    <col min="1" max="1" width="2.625" style="4" customWidth="1"/>
    <col min="2" max="2" width="7.375" style="4" customWidth="1"/>
    <col min="3" max="3" width="26.25" style="4" customWidth="1"/>
    <col min="4" max="4" width="11.75" style="4" customWidth="1"/>
    <col min="5" max="5" width="11.5" style="4" bestFit="1" customWidth="1"/>
    <col min="6" max="6" width="12.875" style="4" bestFit="1" customWidth="1"/>
    <col min="7" max="7" width="13" style="4" bestFit="1" customWidth="1"/>
    <col min="8" max="8" width="8.75" style="4" bestFit="1" customWidth="1"/>
    <col min="9" max="9" width="12.25" style="4" customWidth="1"/>
    <col min="10" max="10" width="13" style="4" bestFit="1" customWidth="1"/>
    <col min="11" max="11" width="8.75" style="4" bestFit="1" customWidth="1"/>
    <col min="12" max="12" width="7.625" style="4" bestFit="1" customWidth="1"/>
    <col min="13" max="13" width="11.875" style="4" hidden="1" customWidth="1" outlineLevel="1"/>
    <col min="14" max="14" width="12.125" style="4" customWidth="1" collapsed="1"/>
    <col min="15" max="16" width="11.875" style="4" hidden="1" customWidth="1" outlineLevel="1"/>
    <col min="17" max="17" width="9.625" style="4" customWidth="1" collapsed="1"/>
    <col min="18" max="18" width="8.375" style="4" hidden="1" customWidth="1" outlineLevel="1"/>
    <col min="19" max="19" width="3.625" style="5" customWidth="1" collapsed="1"/>
    <col min="20" max="138" width="3.625" style="5" customWidth="1"/>
    <col min="139" max="139" width="2.625" style="4" customWidth="1"/>
    <col min="140" max="16384" width="9.125" style="4"/>
  </cols>
  <sheetData>
    <row r="1" spans="2:138" s="1" customFormat="1" ht="50.1" customHeight="1">
      <c r="B1" s="55" t="s">
        <v>68</v>
      </c>
      <c r="C1" s="55"/>
      <c r="D1" s="55"/>
      <c r="E1" s="55"/>
      <c r="F1" s="55"/>
      <c r="H1" s="5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spans="2:138" s="3" customFormat="1" ht="9.9499999999999993" customHeight="1"/>
    <row r="3" spans="2:138" ht="20.100000000000001" customHeight="1"/>
    <row r="4" spans="2:138" ht="23.1" customHeight="1">
      <c r="C4" s="20" t="s">
        <v>17</v>
      </c>
      <c r="D4" s="193">
        <f ca="1">TODAY()</f>
        <v>46065</v>
      </c>
      <c r="E4" s="193"/>
      <c r="F4" s="56" t="s">
        <v>18</v>
      </c>
      <c r="G4" s="53" t="s">
        <v>69</v>
      </c>
      <c r="H4" s="48"/>
      <c r="I4" s="50" t="s">
        <v>20</v>
      </c>
      <c r="S4" s="27"/>
      <c r="T4" s="190" t="s">
        <v>21</v>
      </c>
      <c r="U4" s="190"/>
      <c r="V4" s="190"/>
      <c r="W4" s="28"/>
      <c r="X4" s="190" t="s">
        <v>22</v>
      </c>
      <c r="Y4" s="190"/>
      <c r="Z4" s="190"/>
      <c r="AA4" s="29"/>
      <c r="AB4" s="190" t="s">
        <v>23</v>
      </c>
      <c r="AC4" s="190"/>
      <c r="AD4" s="190"/>
      <c r="AE4" s="30"/>
      <c r="AF4" s="190" t="s">
        <v>24</v>
      </c>
      <c r="AG4" s="190"/>
      <c r="AH4" s="190"/>
      <c r="AI4" s="31"/>
      <c r="AJ4" s="190" t="s">
        <v>25</v>
      </c>
      <c r="AK4" s="190"/>
      <c r="AL4" s="190"/>
      <c r="AM4" s="48"/>
      <c r="AN4" s="48"/>
      <c r="AO4" s="6"/>
      <c r="AP4" s="6"/>
      <c r="AQ4" s="6"/>
    </row>
    <row r="5" spans="2:138" ht="5.0999999999999996" customHeight="1">
      <c r="C5" s="21"/>
      <c r="D5" s="21"/>
      <c r="E5" s="21"/>
      <c r="F5" s="57"/>
      <c r="G5" s="21"/>
      <c r="H5" s="21"/>
      <c r="N5" s="6"/>
      <c r="O5" s="6"/>
      <c r="X5" s="7"/>
    </row>
    <row r="6" spans="2:138" ht="23.1" customHeight="1">
      <c r="C6" s="20" t="s">
        <v>26</v>
      </c>
      <c r="D6" s="191" t="s">
        <v>27</v>
      </c>
      <c r="E6" s="191"/>
      <c r="F6" s="56" t="s">
        <v>3</v>
      </c>
      <c r="G6" s="54">
        <v>45931</v>
      </c>
      <c r="H6" s="48"/>
      <c r="I6" s="61">
        <v>1</v>
      </c>
      <c r="J6" s="8">
        <v>0</v>
      </c>
      <c r="L6" s="8"/>
      <c r="N6" s="6"/>
      <c r="O6" s="6"/>
    </row>
    <row r="7" spans="2:138" ht="24.95" customHeight="1">
      <c r="R7" s="5"/>
      <c r="S7" s="49" t="str">
        <f>TEXT(DATE(YEAR(S9),MONTH(S9),DAY(S9)),"M월")</f>
        <v>9월</v>
      </c>
      <c r="T7" s="49" t="str">
        <f>IF(MONTH(T9)&lt;&gt;MONTH(S9),TEXT(DATE(YEAR(T9),MONTH(T9),DAY(T9)),"M월"),"")</f>
        <v/>
      </c>
      <c r="U7" s="49" t="str">
        <f t="shared" ref="U7:CF7" si="0">IF(MONTH(U9)&lt;&gt;MONTH(T9),TEXT(DATE(YEAR(U9),MONTH(U9),DAY(U9)),"M월"),"")</f>
        <v>10월</v>
      </c>
      <c r="V7" s="49" t="str">
        <f t="shared" si="0"/>
        <v/>
      </c>
      <c r="W7" s="49" t="str">
        <f t="shared" si="0"/>
        <v/>
      </c>
      <c r="X7" s="49" t="str">
        <f t="shared" si="0"/>
        <v/>
      </c>
      <c r="Y7" s="49" t="str">
        <f t="shared" si="0"/>
        <v/>
      </c>
      <c r="Z7" s="49" t="str">
        <f t="shared" si="0"/>
        <v/>
      </c>
      <c r="AA7" s="49" t="str">
        <f t="shared" si="0"/>
        <v/>
      </c>
      <c r="AB7" s="49" t="str">
        <f t="shared" si="0"/>
        <v/>
      </c>
      <c r="AC7" s="49" t="str">
        <f t="shared" si="0"/>
        <v/>
      </c>
      <c r="AD7" s="49" t="str">
        <f t="shared" si="0"/>
        <v/>
      </c>
      <c r="AE7" s="49" t="str">
        <f t="shared" si="0"/>
        <v/>
      </c>
      <c r="AF7" s="49" t="str">
        <f t="shared" si="0"/>
        <v/>
      </c>
      <c r="AG7" s="49" t="str">
        <f t="shared" si="0"/>
        <v/>
      </c>
      <c r="AH7" s="49" t="str">
        <f t="shared" si="0"/>
        <v/>
      </c>
      <c r="AI7" s="49" t="str">
        <f t="shared" si="0"/>
        <v/>
      </c>
      <c r="AJ7" s="49" t="str">
        <f t="shared" si="0"/>
        <v/>
      </c>
      <c r="AK7" s="49" t="str">
        <f t="shared" si="0"/>
        <v/>
      </c>
      <c r="AL7" s="49" t="str">
        <f t="shared" si="0"/>
        <v/>
      </c>
      <c r="AM7" s="49" t="str">
        <f t="shared" si="0"/>
        <v/>
      </c>
      <c r="AN7" s="49" t="str">
        <f t="shared" si="0"/>
        <v/>
      </c>
      <c r="AO7" s="49" t="str">
        <f t="shared" si="0"/>
        <v/>
      </c>
      <c r="AP7" s="49" t="str">
        <f t="shared" si="0"/>
        <v/>
      </c>
      <c r="AQ7" s="49" t="str">
        <f t="shared" si="0"/>
        <v/>
      </c>
      <c r="AR7" s="49" t="str">
        <f t="shared" si="0"/>
        <v/>
      </c>
      <c r="AS7" s="49" t="str">
        <f t="shared" si="0"/>
        <v/>
      </c>
      <c r="AT7" s="49" t="str">
        <f t="shared" si="0"/>
        <v/>
      </c>
      <c r="AU7" s="49" t="str">
        <f t="shared" si="0"/>
        <v/>
      </c>
      <c r="AV7" s="49" t="str">
        <f t="shared" si="0"/>
        <v/>
      </c>
      <c r="AW7" s="49" t="str">
        <f t="shared" si="0"/>
        <v/>
      </c>
      <c r="AX7" s="49" t="str">
        <f t="shared" si="0"/>
        <v/>
      </c>
      <c r="AY7" s="49" t="str">
        <f t="shared" si="0"/>
        <v/>
      </c>
      <c r="AZ7" s="49" t="str">
        <f t="shared" si="0"/>
        <v>11월</v>
      </c>
      <c r="BA7" s="49" t="str">
        <f t="shared" si="0"/>
        <v/>
      </c>
      <c r="BB7" s="49" t="str">
        <f t="shared" si="0"/>
        <v/>
      </c>
      <c r="BC7" s="49" t="str">
        <f t="shared" si="0"/>
        <v/>
      </c>
      <c r="BD7" s="49" t="str">
        <f t="shared" si="0"/>
        <v/>
      </c>
      <c r="BE7" s="49" t="str">
        <f t="shared" si="0"/>
        <v/>
      </c>
      <c r="BF7" s="49" t="str">
        <f t="shared" si="0"/>
        <v/>
      </c>
      <c r="BG7" s="49" t="str">
        <f t="shared" si="0"/>
        <v/>
      </c>
      <c r="BH7" s="49" t="str">
        <f t="shared" si="0"/>
        <v/>
      </c>
      <c r="BI7" s="49" t="str">
        <f t="shared" si="0"/>
        <v/>
      </c>
      <c r="BJ7" s="49" t="str">
        <f t="shared" si="0"/>
        <v/>
      </c>
      <c r="BK7" s="49" t="str">
        <f t="shared" si="0"/>
        <v/>
      </c>
      <c r="BL7" s="49" t="str">
        <f t="shared" si="0"/>
        <v/>
      </c>
      <c r="BM7" s="49" t="str">
        <f t="shared" si="0"/>
        <v/>
      </c>
      <c r="BN7" s="49" t="str">
        <f t="shared" si="0"/>
        <v/>
      </c>
      <c r="BO7" s="49" t="str">
        <f t="shared" si="0"/>
        <v/>
      </c>
      <c r="BP7" s="49" t="str">
        <f t="shared" si="0"/>
        <v/>
      </c>
      <c r="BQ7" s="49" t="str">
        <f t="shared" si="0"/>
        <v/>
      </c>
      <c r="BR7" s="49" t="str">
        <f t="shared" si="0"/>
        <v/>
      </c>
      <c r="BS7" s="49" t="str">
        <f t="shared" si="0"/>
        <v/>
      </c>
      <c r="BT7" s="49" t="str">
        <f t="shared" si="0"/>
        <v/>
      </c>
      <c r="BU7" s="49" t="str">
        <f t="shared" si="0"/>
        <v/>
      </c>
      <c r="BV7" s="49" t="str">
        <f t="shared" si="0"/>
        <v/>
      </c>
      <c r="BW7" s="49" t="str">
        <f t="shared" si="0"/>
        <v/>
      </c>
      <c r="BX7" s="49" t="str">
        <f t="shared" si="0"/>
        <v/>
      </c>
      <c r="BY7" s="49" t="str">
        <f t="shared" si="0"/>
        <v/>
      </c>
      <c r="BZ7" s="49" t="str">
        <f t="shared" si="0"/>
        <v/>
      </c>
      <c r="CA7" s="49" t="str">
        <f t="shared" si="0"/>
        <v/>
      </c>
      <c r="CB7" s="49" t="str">
        <f t="shared" si="0"/>
        <v/>
      </c>
      <c r="CC7" s="49" t="str">
        <f t="shared" si="0"/>
        <v/>
      </c>
      <c r="CD7" s="49" t="str">
        <f t="shared" si="0"/>
        <v>12월</v>
      </c>
      <c r="CE7" s="49" t="str">
        <f t="shared" si="0"/>
        <v/>
      </c>
      <c r="CF7" s="49" t="str">
        <f t="shared" si="0"/>
        <v/>
      </c>
      <c r="CG7" s="49" t="str">
        <f t="shared" ref="CG7:EH7" si="1">IF(MONTH(CG9)&lt;&gt;MONTH(CF9),TEXT(DATE(YEAR(CG9),MONTH(CG9),DAY(CG9)),"M월"),"")</f>
        <v/>
      </c>
      <c r="CH7" s="49" t="str">
        <f t="shared" si="1"/>
        <v/>
      </c>
      <c r="CI7" s="49" t="str">
        <f t="shared" si="1"/>
        <v/>
      </c>
      <c r="CJ7" s="49" t="str">
        <f t="shared" si="1"/>
        <v/>
      </c>
      <c r="CK7" s="49" t="str">
        <f t="shared" si="1"/>
        <v/>
      </c>
      <c r="CL7" s="49" t="str">
        <f t="shared" si="1"/>
        <v/>
      </c>
      <c r="CM7" s="49" t="str">
        <f t="shared" si="1"/>
        <v/>
      </c>
      <c r="CN7" s="49" t="str">
        <f t="shared" si="1"/>
        <v/>
      </c>
      <c r="CO7" s="49" t="str">
        <f t="shared" si="1"/>
        <v/>
      </c>
      <c r="CP7" s="49" t="str">
        <f t="shared" si="1"/>
        <v/>
      </c>
      <c r="CQ7" s="49" t="str">
        <f t="shared" si="1"/>
        <v/>
      </c>
      <c r="CR7" s="49" t="str">
        <f t="shared" si="1"/>
        <v/>
      </c>
      <c r="CS7" s="49" t="str">
        <f t="shared" si="1"/>
        <v/>
      </c>
      <c r="CT7" s="49" t="str">
        <f t="shared" si="1"/>
        <v/>
      </c>
      <c r="CU7" s="49" t="str">
        <f t="shared" si="1"/>
        <v/>
      </c>
      <c r="CV7" s="49" t="str">
        <f t="shared" si="1"/>
        <v/>
      </c>
      <c r="CW7" s="49" t="str">
        <f t="shared" si="1"/>
        <v/>
      </c>
      <c r="CX7" s="49" t="str">
        <f t="shared" si="1"/>
        <v/>
      </c>
      <c r="CY7" s="49" t="str">
        <f t="shared" si="1"/>
        <v/>
      </c>
      <c r="CZ7" s="49" t="str">
        <f t="shared" si="1"/>
        <v/>
      </c>
      <c r="DA7" s="49" t="str">
        <f t="shared" si="1"/>
        <v/>
      </c>
      <c r="DB7" s="49" t="str">
        <f t="shared" si="1"/>
        <v/>
      </c>
      <c r="DC7" s="49" t="str">
        <f t="shared" si="1"/>
        <v/>
      </c>
      <c r="DD7" s="49" t="str">
        <f t="shared" si="1"/>
        <v/>
      </c>
      <c r="DE7" s="49" t="str">
        <f t="shared" si="1"/>
        <v/>
      </c>
      <c r="DF7" s="49" t="str">
        <f t="shared" si="1"/>
        <v/>
      </c>
      <c r="DG7" s="49" t="str">
        <f t="shared" si="1"/>
        <v/>
      </c>
      <c r="DH7" s="49" t="str">
        <f t="shared" si="1"/>
        <v/>
      </c>
      <c r="DI7" s="49" t="str">
        <f t="shared" si="1"/>
        <v>1월</v>
      </c>
      <c r="DJ7" s="49" t="str">
        <f t="shared" si="1"/>
        <v/>
      </c>
      <c r="DK7" s="49" t="str">
        <f t="shared" si="1"/>
        <v/>
      </c>
      <c r="DL7" s="49" t="str">
        <f t="shared" si="1"/>
        <v/>
      </c>
      <c r="DM7" s="49" t="str">
        <f t="shared" si="1"/>
        <v/>
      </c>
      <c r="DN7" s="49" t="str">
        <f t="shared" si="1"/>
        <v/>
      </c>
      <c r="DO7" s="49" t="str">
        <f t="shared" si="1"/>
        <v/>
      </c>
      <c r="DP7" s="49" t="str">
        <f t="shared" si="1"/>
        <v/>
      </c>
      <c r="DQ7" s="49" t="str">
        <f t="shared" si="1"/>
        <v/>
      </c>
      <c r="DR7" s="49" t="str">
        <f t="shared" si="1"/>
        <v/>
      </c>
      <c r="DS7" s="49" t="str">
        <f t="shared" si="1"/>
        <v/>
      </c>
      <c r="DT7" s="49" t="str">
        <f t="shared" si="1"/>
        <v/>
      </c>
      <c r="DU7" s="49" t="str">
        <f t="shared" si="1"/>
        <v/>
      </c>
      <c r="DV7" s="49" t="str">
        <f t="shared" si="1"/>
        <v/>
      </c>
      <c r="DW7" s="49" t="str">
        <f t="shared" si="1"/>
        <v/>
      </c>
      <c r="DX7" s="49" t="str">
        <f t="shared" si="1"/>
        <v/>
      </c>
      <c r="DY7" s="49" t="str">
        <f t="shared" si="1"/>
        <v/>
      </c>
      <c r="DZ7" s="49" t="str">
        <f t="shared" si="1"/>
        <v/>
      </c>
      <c r="EA7" s="49" t="str">
        <f t="shared" si="1"/>
        <v/>
      </c>
      <c r="EB7" s="49" t="str">
        <f t="shared" si="1"/>
        <v/>
      </c>
      <c r="EC7" s="49" t="str">
        <f t="shared" si="1"/>
        <v/>
      </c>
      <c r="ED7" s="49" t="str">
        <f t="shared" si="1"/>
        <v/>
      </c>
      <c r="EE7" s="49" t="str">
        <f t="shared" si="1"/>
        <v/>
      </c>
      <c r="EF7" s="49" t="str">
        <f t="shared" si="1"/>
        <v/>
      </c>
      <c r="EG7" s="49" t="str">
        <f t="shared" si="1"/>
        <v/>
      </c>
      <c r="EH7" s="49" t="str">
        <f t="shared" si="1"/>
        <v/>
      </c>
    </row>
    <row r="8" spans="2:138" ht="18" customHeight="1">
      <c r="S8" s="47">
        <f>S9</f>
        <v>45929</v>
      </c>
      <c r="T8" s="47">
        <f t="shared" ref="T8:AI9" si="2">S8+$I$6</f>
        <v>45930</v>
      </c>
      <c r="U8" s="47">
        <f t="shared" si="2"/>
        <v>45931</v>
      </c>
      <c r="V8" s="47">
        <f t="shared" si="2"/>
        <v>45932</v>
      </c>
      <c r="W8" s="47">
        <f t="shared" si="2"/>
        <v>45933</v>
      </c>
      <c r="X8" s="47">
        <f t="shared" si="2"/>
        <v>45934</v>
      </c>
      <c r="Y8" s="47">
        <f t="shared" si="2"/>
        <v>45935</v>
      </c>
      <c r="Z8" s="47">
        <f t="shared" si="2"/>
        <v>45936</v>
      </c>
      <c r="AA8" s="47">
        <f t="shared" si="2"/>
        <v>45937</v>
      </c>
      <c r="AB8" s="47">
        <f t="shared" si="2"/>
        <v>45938</v>
      </c>
      <c r="AC8" s="47">
        <f t="shared" si="2"/>
        <v>45939</v>
      </c>
      <c r="AD8" s="47">
        <f t="shared" si="2"/>
        <v>45940</v>
      </c>
      <c r="AE8" s="47">
        <f t="shared" si="2"/>
        <v>45941</v>
      </c>
      <c r="AF8" s="47">
        <f t="shared" si="2"/>
        <v>45942</v>
      </c>
      <c r="AG8" s="47">
        <f t="shared" si="2"/>
        <v>45943</v>
      </c>
      <c r="AH8" s="47">
        <f t="shared" si="2"/>
        <v>45944</v>
      </c>
      <c r="AI8" s="47">
        <f t="shared" si="2"/>
        <v>45945</v>
      </c>
      <c r="AJ8" s="47">
        <f t="shared" ref="AJ8:AY9" si="3">AI8+$I$6</f>
        <v>45946</v>
      </c>
      <c r="AK8" s="47">
        <f t="shared" si="3"/>
        <v>45947</v>
      </c>
      <c r="AL8" s="47">
        <f t="shared" si="3"/>
        <v>45948</v>
      </c>
      <c r="AM8" s="47">
        <f t="shared" si="3"/>
        <v>45949</v>
      </c>
      <c r="AN8" s="47">
        <f t="shared" si="3"/>
        <v>45950</v>
      </c>
      <c r="AO8" s="47">
        <f t="shared" si="3"/>
        <v>45951</v>
      </c>
      <c r="AP8" s="47">
        <f t="shared" si="3"/>
        <v>45952</v>
      </c>
      <c r="AQ8" s="47">
        <f t="shared" si="3"/>
        <v>45953</v>
      </c>
      <c r="AR8" s="47">
        <f t="shared" si="3"/>
        <v>45954</v>
      </c>
      <c r="AS8" s="47">
        <f t="shared" si="3"/>
        <v>45955</v>
      </c>
      <c r="AT8" s="47">
        <f t="shared" si="3"/>
        <v>45956</v>
      </c>
      <c r="AU8" s="47">
        <f t="shared" si="3"/>
        <v>45957</v>
      </c>
      <c r="AV8" s="47">
        <f t="shared" si="3"/>
        <v>45958</v>
      </c>
      <c r="AW8" s="47">
        <f t="shared" si="3"/>
        <v>45959</v>
      </c>
      <c r="AX8" s="47">
        <f t="shared" si="3"/>
        <v>45960</v>
      </c>
      <c r="AY8" s="47">
        <f t="shared" si="3"/>
        <v>45961</v>
      </c>
      <c r="AZ8" s="47">
        <f t="shared" ref="AZ8:BO9" si="4">AY8+$I$6</f>
        <v>45962</v>
      </c>
      <c r="BA8" s="47">
        <f t="shared" si="4"/>
        <v>45963</v>
      </c>
      <c r="BB8" s="47">
        <f t="shared" si="4"/>
        <v>45964</v>
      </c>
      <c r="BC8" s="47">
        <f t="shared" si="4"/>
        <v>45965</v>
      </c>
      <c r="BD8" s="47">
        <f t="shared" si="4"/>
        <v>45966</v>
      </c>
      <c r="BE8" s="47">
        <f t="shared" si="4"/>
        <v>45967</v>
      </c>
      <c r="BF8" s="47">
        <f t="shared" si="4"/>
        <v>45968</v>
      </c>
      <c r="BG8" s="47">
        <f t="shared" si="4"/>
        <v>45969</v>
      </c>
      <c r="BH8" s="47">
        <f t="shared" si="4"/>
        <v>45970</v>
      </c>
      <c r="BI8" s="47">
        <f t="shared" si="4"/>
        <v>45971</v>
      </c>
      <c r="BJ8" s="47">
        <f t="shared" si="4"/>
        <v>45972</v>
      </c>
      <c r="BK8" s="47">
        <f t="shared" si="4"/>
        <v>45973</v>
      </c>
      <c r="BL8" s="47">
        <f t="shared" si="4"/>
        <v>45974</v>
      </c>
      <c r="BM8" s="47">
        <f t="shared" si="4"/>
        <v>45975</v>
      </c>
      <c r="BN8" s="47">
        <f t="shared" si="4"/>
        <v>45976</v>
      </c>
      <c r="BO8" s="47">
        <f t="shared" si="4"/>
        <v>45977</v>
      </c>
      <c r="BP8" s="47">
        <f t="shared" ref="BP8:CE9" si="5">BO8+$I$6</f>
        <v>45978</v>
      </c>
      <c r="BQ8" s="47">
        <f t="shared" si="5"/>
        <v>45979</v>
      </c>
      <c r="BR8" s="47">
        <f t="shared" si="5"/>
        <v>45980</v>
      </c>
      <c r="BS8" s="47">
        <f t="shared" si="5"/>
        <v>45981</v>
      </c>
      <c r="BT8" s="47">
        <f t="shared" si="5"/>
        <v>45982</v>
      </c>
      <c r="BU8" s="47">
        <f t="shared" si="5"/>
        <v>45983</v>
      </c>
      <c r="BV8" s="47">
        <f t="shared" si="5"/>
        <v>45984</v>
      </c>
      <c r="BW8" s="47">
        <f t="shared" si="5"/>
        <v>45985</v>
      </c>
      <c r="BX8" s="47">
        <f t="shared" si="5"/>
        <v>45986</v>
      </c>
      <c r="BY8" s="47">
        <f t="shared" si="5"/>
        <v>45987</v>
      </c>
      <c r="BZ8" s="47">
        <f t="shared" si="5"/>
        <v>45988</v>
      </c>
      <c r="CA8" s="47">
        <f t="shared" si="5"/>
        <v>45989</v>
      </c>
      <c r="CB8" s="47">
        <f t="shared" si="5"/>
        <v>45990</v>
      </c>
      <c r="CC8" s="47">
        <f t="shared" si="5"/>
        <v>45991</v>
      </c>
      <c r="CD8" s="47">
        <f t="shared" si="5"/>
        <v>45992</v>
      </c>
      <c r="CE8" s="47">
        <f t="shared" si="5"/>
        <v>45993</v>
      </c>
      <c r="CF8" s="47">
        <f t="shared" ref="CF8:CU9" si="6">CE8+$I$6</f>
        <v>45994</v>
      </c>
      <c r="CG8" s="47">
        <f t="shared" si="6"/>
        <v>45995</v>
      </c>
      <c r="CH8" s="47">
        <f t="shared" si="6"/>
        <v>45996</v>
      </c>
      <c r="CI8" s="47">
        <f t="shared" si="6"/>
        <v>45997</v>
      </c>
      <c r="CJ8" s="47">
        <f t="shared" si="6"/>
        <v>45998</v>
      </c>
      <c r="CK8" s="47">
        <f t="shared" si="6"/>
        <v>45999</v>
      </c>
      <c r="CL8" s="47">
        <f t="shared" si="6"/>
        <v>46000</v>
      </c>
      <c r="CM8" s="47">
        <f t="shared" si="6"/>
        <v>46001</v>
      </c>
      <c r="CN8" s="47">
        <f t="shared" si="6"/>
        <v>46002</v>
      </c>
      <c r="CO8" s="47">
        <f t="shared" si="6"/>
        <v>46003</v>
      </c>
      <c r="CP8" s="47">
        <f t="shared" si="6"/>
        <v>46004</v>
      </c>
      <c r="CQ8" s="47">
        <f t="shared" si="6"/>
        <v>46005</v>
      </c>
      <c r="CR8" s="47">
        <f t="shared" si="6"/>
        <v>46006</v>
      </c>
      <c r="CS8" s="47">
        <f t="shared" si="6"/>
        <v>46007</v>
      </c>
      <c r="CT8" s="47">
        <f t="shared" si="6"/>
        <v>46008</v>
      </c>
      <c r="CU8" s="47">
        <f t="shared" si="6"/>
        <v>46009</v>
      </c>
      <c r="CV8" s="47">
        <f t="shared" ref="CV8:DK9" si="7">CU8+$I$6</f>
        <v>46010</v>
      </c>
      <c r="CW8" s="47">
        <f t="shared" si="7"/>
        <v>46011</v>
      </c>
      <c r="CX8" s="47">
        <f t="shared" si="7"/>
        <v>46012</v>
      </c>
      <c r="CY8" s="47">
        <f t="shared" si="7"/>
        <v>46013</v>
      </c>
      <c r="CZ8" s="47">
        <f t="shared" si="7"/>
        <v>46014</v>
      </c>
      <c r="DA8" s="47">
        <f t="shared" si="7"/>
        <v>46015</v>
      </c>
      <c r="DB8" s="47">
        <f t="shared" si="7"/>
        <v>46016</v>
      </c>
      <c r="DC8" s="47">
        <f t="shared" si="7"/>
        <v>46017</v>
      </c>
      <c r="DD8" s="47">
        <f t="shared" si="7"/>
        <v>46018</v>
      </c>
      <c r="DE8" s="47">
        <f t="shared" si="7"/>
        <v>46019</v>
      </c>
      <c r="DF8" s="47">
        <f t="shared" si="7"/>
        <v>46020</v>
      </c>
      <c r="DG8" s="47">
        <f t="shared" si="7"/>
        <v>46021</v>
      </c>
      <c r="DH8" s="47">
        <f t="shared" si="7"/>
        <v>46022</v>
      </c>
      <c r="DI8" s="47">
        <f t="shared" si="7"/>
        <v>46023</v>
      </c>
      <c r="DJ8" s="47">
        <f t="shared" si="7"/>
        <v>46024</v>
      </c>
      <c r="DK8" s="47">
        <f t="shared" si="7"/>
        <v>46025</v>
      </c>
      <c r="DL8" s="47">
        <f t="shared" ref="DL8:EA9" si="8">DK8+$I$6</f>
        <v>46026</v>
      </c>
      <c r="DM8" s="47">
        <f t="shared" si="8"/>
        <v>46027</v>
      </c>
      <c r="DN8" s="47">
        <f t="shared" si="8"/>
        <v>46028</v>
      </c>
      <c r="DO8" s="47">
        <f t="shared" si="8"/>
        <v>46029</v>
      </c>
      <c r="DP8" s="47">
        <f t="shared" si="8"/>
        <v>46030</v>
      </c>
      <c r="DQ8" s="47">
        <f t="shared" si="8"/>
        <v>46031</v>
      </c>
      <c r="DR8" s="47">
        <f t="shared" si="8"/>
        <v>46032</v>
      </c>
      <c r="DS8" s="47">
        <f t="shared" si="8"/>
        <v>46033</v>
      </c>
      <c r="DT8" s="47">
        <f t="shared" si="8"/>
        <v>46034</v>
      </c>
      <c r="DU8" s="47">
        <f t="shared" si="8"/>
        <v>46035</v>
      </c>
      <c r="DV8" s="47">
        <f t="shared" si="8"/>
        <v>46036</v>
      </c>
      <c r="DW8" s="47">
        <f t="shared" si="8"/>
        <v>46037</v>
      </c>
      <c r="DX8" s="47">
        <f t="shared" si="8"/>
        <v>46038</v>
      </c>
      <c r="DY8" s="47">
        <f t="shared" si="8"/>
        <v>46039</v>
      </c>
      <c r="DZ8" s="47">
        <f t="shared" si="8"/>
        <v>46040</v>
      </c>
      <c r="EA8" s="47">
        <f t="shared" si="8"/>
        <v>46041</v>
      </c>
      <c r="EB8" s="47">
        <f t="shared" ref="EB8:EH9" si="9">EA8+$I$6</f>
        <v>46042</v>
      </c>
      <c r="EC8" s="47">
        <f t="shared" si="9"/>
        <v>46043</v>
      </c>
      <c r="ED8" s="47">
        <f t="shared" si="9"/>
        <v>46044</v>
      </c>
      <c r="EE8" s="47">
        <f t="shared" si="9"/>
        <v>46045</v>
      </c>
      <c r="EF8" s="47">
        <f t="shared" si="9"/>
        <v>46046</v>
      </c>
      <c r="EG8" s="47">
        <f t="shared" si="9"/>
        <v>46047</v>
      </c>
      <c r="EH8" s="47">
        <f t="shared" si="9"/>
        <v>46048</v>
      </c>
    </row>
    <row r="9" spans="2:138" s="9" customFormat="1" ht="23.1" customHeight="1">
      <c r="B9" s="22" t="s">
        <v>28</v>
      </c>
      <c r="C9" s="192" t="s">
        <v>1</v>
      </c>
      <c r="D9" s="192"/>
      <c r="E9" s="22" t="s">
        <v>29</v>
      </c>
      <c r="F9" s="22" t="s">
        <v>3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3" t="s">
        <v>40</v>
      </c>
      <c r="R9" s="10" t="s">
        <v>41</v>
      </c>
      <c r="S9" s="32">
        <f>$G$6-WEEKDAY($G$6,1)+INDEX({1;2;3;4;5;6;7},MATCH($D$6,{"일요일";"월요일";"화요일";"수요일";"목요일";"금요일";"토요일"},0))</f>
        <v>45929</v>
      </c>
      <c r="T9" s="32">
        <f t="shared" si="2"/>
        <v>45930</v>
      </c>
      <c r="U9" s="32">
        <f t="shared" si="2"/>
        <v>45931</v>
      </c>
      <c r="V9" s="32">
        <f t="shared" si="2"/>
        <v>45932</v>
      </c>
      <c r="W9" s="32">
        <f t="shared" si="2"/>
        <v>45933</v>
      </c>
      <c r="X9" s="32">
        <f t="shared" si="2"/>
        <v>45934</v>
      </c>
      <c r="Y9" s="32">
        <f t="shared" si="2"/>
        <v>45935</v>
      </c>
      <c r="Z9" s="32">
        <f t="shared" si="2"/>
        <v>45936</v>
      </c>
      <c r="AA9" s="32">
        <f t="shared" si="2"/>
        <v>45937</v>
      </c>
      <c r="AB9" s="32">
        <f t="shared" si="2"/>
        <v>45938</v>
      </c>
      <c r="AC9" s="32">
        <f t="shared" si="2"/>
        <v>45939</v>
      </c>
      <c r="AD9" s="32">
        <f t="shared" si="2"/>
        <v>45940</v>
      </c>
      <c r="AE9" s="32">
        <f t="shared" si="2"/>
        <v>45941</v>
      </c>
      <c r="AF9" s="32">
        <f t="shared" si="2"/>
        <v>45942</v>
      </c>
      <c r="AG9" s="32">
        <f t="shared" si="2"/>
        <v>45943</v>
      </c>
      <c r="AH9" s="32">
        <f t="shared" si="2"/>
        <v>45944</v>
      </c>
      <c r="AI9" s="32">
        <f t="shared" si="2"/>
        <v>45945</v>
      </c>
      <c r="AJ9" s="32">
        <f t="shared" si="3"/>
        <v>45946</v>
      </c>
      <c r="AK9" s="32">
        <f t="shared" si="3"/>
        <v>45947</v>
      </c>
      <c r="AL9" s="32">
        <f t="shared" si="3"/>
        <v>45948</v>
      </c>
      <c r="AM9" s="32">
        <f t="shared" si="3"/>
        <v>45949</v>
      </c>
      <c r="AN9" s="32">
        <f t="shared" si="3"/>
        <v>45950</v>
      </c>
      <c r="AO9" s="32">
        <f t="shared" si="3"/>
        <v>45951</v>
      </c>
      <c r="AP9" s="32">
        <f t="shared" si="3"/>
        <v>45952</v>
      </c>
      <c r="AQ9" s="32">
        <f t="shared" si="3"/>
        <v>45953</v>
      </c>
      <c r="AR9" s="32">
        <f t="shared" si="3"/>
        <v>45954</v>
      </c>
      <c r="AS9" s="32">
        <f t="shared" si="3"/>
        <v>45955</v>
      </c>
      <c r="AT9" s="32">
        <f t="shared" si="3"/>
        <v>45956</v>
      </c>
      <c r="AU9" s="32">
        <f t="shared" si="3"/>
        <v>45957</v>
      </c>
      <c r="AV9" s="32">
        <f t="shared" si="3"/>
        <v>45958</v>
      </c>
      <c r="AW9" s="32">
        <f t="shared" si="3"/>
        <v>45959</v>
      </c>
      <c r="AX9" s="32">
        <f t="shared" si="3"/>
        <v>45960</v>
      </c>
      <c r="AY9" s="32">
        <f t="shared" si="3"/>
        <v>45961</v>
      </c>
      <c r="AZ9" s="32">
        <f t="shared" si="4"/>
        <v>45962</v>
      </c>
      <c r="BA9" s="32">
        <f t="shared" si="4"/>
        <v>45963</v>
      </c>
      <c r="BB9" s="32">
        <f t="shared" si="4"/>
        <v>45964</v>
      </c>
      <c r="BC9" s="32">
        <f t="shared" si="4"/>
        <v>45965</v>
      </c>
      <c r="BD9" s="32">
        <f t="shared" si="4"/>
        <v>45966</v>
      </c>
      <c r="BE9" s="32">
        <f t="shared" si="4"/>
        <v>45967</v>
      </c>
      <c r="BF9" s="32">
        <f t="shared" si="4"/>
        <v>45968</v>
      </c>
      <c r="BG9" s="32">
        <f t="shared" si="4"/>
        <v>45969</v>
      </c>
      <c r="BH9" s="32">
        <f t="shared" si="4"/>
        <v>45970</v>
      </c>
      <c r="BI9" s="32">
        <f t="shared" si="4"/>
        <v>45971</v>
      </c>
      <c r="BJ9" s="32">
        <f t="shared" si="4"/>
        <v>45972</v>
      </c>
      <c r="BK9" s="32">
        <f t="shared" si="4"/>
        <v>45973</v>
      </c>
      <c r="BL9" s="32">
        <f t="shared" si="4"/>
        <v>45974</v>
      </c>
      <c r="BM9" s="32">
        <f t="shared" si="4"/>
        <v>45975</v>
      </c>
      <c r="BN9" s="32">
        <f t="shared" si="4"/>
        <v>45976</v>
      </c>
      <c r="BO9" s="32">
        <f t="shared" si="4"/>
        <v>45977</v>
      </c>
      <c r="BP9" s="32">
        <f t="shared" si="5"/>
        <v>45978</v>
      </c>
      <c r="BQ9" s="32">
        <f t="shared" si="5"/>
        <v>45979</v>
      </c>
      <c r="BR9" s="32">
        <f t="shared" si="5"/>
        <v>45980</v>
      </c>
      <c r="BS9" s="32">
        <f t="shared" si="5"/>
        <v>45981</v>
      </c>
      <c r="BT9" s="32">
        <f t="shared" si="5"/>
        <v>45982</v>
      </c>
      <c r="BU9" s="32">
        <f t="shared" si="5"/>
        <v>45983</v>
      </c>
      <c r="BV9" s="32">
        <f t="shared" si="5"/>
        <v>45984</v>
      </c>
      <c r="BW9" s="32">
        <f t="shared" si="5"/>
        <v>45985</v>
      </c>
      <c r="BX9" s="32">
        <f t="shared" si="5"/>
        <v>45986</v>
      </c>
      <c r="BY9" s="32">
        <f t="shared" si="5"/>
        <v>45987</v>
      </c>
      <c r="BZ9" s="32">
        <f t="shared" si="5"/>
        <v>45988</v>
      </c>
      <c r="CA9" s="32">
        <f t="shared" si="5"/>
        <v>45989</v>
      </c>
      <c r="CB9" s="32">
        <f t="shared" si="5"/>
        <v>45990</v>
      </c>
      <c r="CC9" s="32">
        <f t="shared" si="5"/>
        <v>45991</v>
      </c>
      <c r="CD9" s="32">
        <f t="shared" si="5"/>
        <v>45992</v>
      </c>
      <c r="CE9" s="32">
        <f t="shared" si="5"/>
        <v>45993</v>
      </c>
      <c r="CF9" s="32">
        <f t="shared" si="6"/>
        <v>45994</v>
      </c>
      <c r="CG9" s="32">
        <f t="shared" si="6"/>
        <v>45995</v>
      </c>
      <c r="CH9" s="32">
        <f t="shared" si="6"/>
        <v>45996</v>
      </c>
      <c r="CI9" s="32">
        <f t="shared" si="6"/>
        <v>45997</v>
      </c>
      <c r="CJ9" s="32">
        <f t="shared" si="6"/>
        <v>45998</v>
      </c>
      <c r="CK9" s="32">
        <f t="shared" si="6"/>
        <v>45999</v>
      </c>
      <c r="CL9" s="32">
        <f t="shared" si="6"/>
        <v>46000</v>
      </c>
      <c r="CM9" s="32">
        <f t="shared" si="6"/>
        <v>46001</v>
      </c>
      <c r="CN9" s="32">
        <f t="shared" si="6"/>
        <v>46002</v>
      </c>
      <c r="CO9" s="32">
        <f t="shared" si="6"/>
        <v>46003</v>
      </c>
      <c r="CP9" s="32">
        <f t="shared" si="6"/>
        <v>46004</v>
      </c>
      <c r="CQ9" s="32">
        <f t="shared" si="6"/>
        <v>46005</v>
      </c>
      <c r="CR9" s="32">
        <f t="shared" si="6"/>
        <v>46006</v>
      </c>
      <c r="CS9" s="32">
        <f t="shared" si="6"/>
        <v>46007</v>
      </c>
      <c r="CT9" s="32">
        <f t="shared" si="6"/>
        <v>46008</v>
      </c>
      <c r="CU9" s="32">
        <f t="shared" si="6"/>
        <v>46009</v>
      </c>
      <c r="CV9" s="32">
        <f t="shared" si="7"/>
        <v>46010</v>
      </c>
      <c r="CW9" s="32">
        <f t="shared" si="7"/>
        <v>46011</v>
      </c>
      <c r="CX9" s="32">
        <f t="shared" si="7"/>
        <v>46012</v>
      </c>
      <c r="CY9" s="32">
        <f t="shared" si="7"/>
        <v>46013</v>
      </c>
      <c r="CZ9" s="32">
        <f t="shared" si="7"/>
        <v>46014</v>
      </c>
      <c r="DA9" s="32">
        <f t="shared" si="7"/>
        <v>46015</v>
      </c>
      <c r="DB9" s="32">
        <f t="shared" si="7"/>
        <v>46016</v>
      </c>
      <c r="DC9" s="32">
        <f t="shared" si="7"/>
        <v>46017</v>
      </c>
      <c r="DD9" s="32">
        <f t="shared" si="7"/>
        <v>46018</v>
      </c>
      <c r="DE9" s="32">
        <f t="shared" si="7"/>
        <v>46019</v>
      </c>
      <c r="DF9" s="32">
        <f t="shared" si="7"/>
        <v>46020</v>
      </c>
      <c r="DG9" s="32">
        <f t="shared" si="7"/>
        <v>46021</v>
      </c>
      <c r="DH9" s="32">
        <f t="shared" si="7"/>
        <v>46022</v>
      </c>
      <c r="DI9" s="32">
        <f t="shared" si="7"/>
        <v>46023</v>
      </c>
      <c r="DJ9" s="32">
        <f t="shared" si="7"/>
        <v>46024</v>
      </c>
      <c r="DK9" s="32">
        <f t="shared" si="7"/>
        <v>46025</v>
      </c>
      <c r="DL9" s="32">
        <f t="shared" si="8"/>
        <v>46026</v>
      </c>
      <c r="DM9" s="32">
        <f t="shared" si="8"/>
        <v>46027</v>
      </c>
      <c r="DN9" s="32">
        <f t="shared" si="8"/>
        <v>46028</v>
      </c>
      <c r="DO9" s="32">
        <f t="shared" si="8"/>
        <v>46029</v>
      </c>
      <c r="DP9" s="32">
        <f t="shared" si="8"/>
        <v>46030</v>
      </c>
      <c r="DQ9" s="32">
        <f t="shared" si="8"/>
        <v>46031</v>
      </c>
      <c r="DR9" s="32">
        <f t="shared" si="8"/>
        <v>46032</v>
      </c>
      <c r="DS9" s="32">
        <f t="shared" si="8"/>
        <v>46033</v>
      </c>
      <c r="DT9" s="32">
        <f t="shared" si="8"/>
        <v>46034</v>
      </c>
      <c r="DU9" s="32">
        <f t="shared" si="8"/>
        <v>46035</v>
      </c>
      <c r="DV9" s="32">
        <f t="shared" si="8"/>
        <v>46036</v>
      </c>
      <c r="DW9" s="32">
        <f t="shared" si="8"/>
        <v>46037</v>
      </c>
      <c r="DX9" s="32">
        <f t="shared" si="8"/>
        <v>46038</v>
      </c>
      <c r="DY9" s="32">
        <f t="shared" si="8"/>
        <v>46039</v>
      </c>
      <c r="DZ9" s="32">
        <f t="shared" si="8"/>
        <v>46040</v>
      </c>
      <c r="EA9" s="32">
        <f t="shared" si="8"/>
        <v>46041</v>
      </c>
      <c r="EB9" s="32">
        <f t="shared" si="9"/>
        <v>46042</v>
      </c>
      <c r="EC9" s="32">
        <f t="shared" si="9"/>
        <v>46043</v>
      </c>
      <c r="ED9" s="32">
        <f t="shared" si="9"/>
        <v>46044</v>
      </c>
      <c r="EE9" s="32">
        <f t="shared" si="9"/>
        <v>46045</v>
      </c>
      <c r="EF9" s="32">
        <f t="shared" si="9"/>
        <v>46046</v>
      </c>
      <c r="EG9" s="32">
        <f t="shared" si="9"/>
        <v>46047</v>
      </c>
      <c r="EH9" s="32">
        <f t="shared" si="9"/>
        <v>46048</v>
      </c>
    </row>
    <row r="10" spans="2:138" s="11" customFormat="1" ht="24.95" customHeight="1">
      <c r="B10" s="141">
        <v>1</v>
      </c>
      <c r="C10" s="142" t="s">
        <v>9</v>
      </c>
      <c r="D10" s="143" t="s">
        <v>70</v>
      </c>
      <c r="E10" s="143" t="s">
        <v>42</v>
      </c>
      <c r="F10" s="144">
        <f>MIN(F11:F16)</f>
        <v>46015</v>
      </c>
      <c r="G10" s="144">
        <f>MAX(G11:G16)</f>
        <v>46083</v>
      </c>
      <c r="H10" s="145">
        <f>IF(F10=0,"",G10-F10+1)</f>
        <v>69</v>
      </c>
      <c r="I10" s="59">
        <f>IFERROR(SUMPRODUCT(H11:H16,I11:I16)/SUM(H11:H16),"")</f>
        <v>0.90909090909090906</v>
      </c>
      <c r="J10" s="33">
        <f>IF(MAX(J11:J16)="","",MAX(J11:J16))</f>
        <v>46083</v>
      </c>
      <c r="K10" s="24">
        <f>J10-F10+1</f>
        <v>69</v>
      </c>
      <c r="L10" s="33"/>
      <c r="M10" s="35">
        <f t="shared" ref="M10:M17" si="10">NETWORKDAYS(F10,G10)</f>
        <v>49</v>
      </c>
      <c r="N10" s="35">
        <f t="shared" ref="N10:N17" si="11">NETWORKDAYS(F10,J10)</f>
        <v>49</v>
      </c>
      <c r="O10" s="35">
        <f t="shared" ref="O10:O17" si="12">IFERROR(ROUNDDOWN(I10*H10,0),"")</f>
        <v>62</v>
      </c>
      <c r="P10" s="35">
        <f t="shared" ref="P10:P17" si="13">IFERROR(ROUNDDOWN(I10*K10,0),"")</f>
        <v>62</v>
      </c>
      <c r="Q10" s="40">
        <f>IFERROR(H10-O10,"")</f>
        <v>7</v>
      </c>
      <c r="R10" s="12">
        <f>K10-P10</f>
        <v>7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2:138" s="11" customFormat="1" ht="22.35" customHeight="1">
      <c r="B11" s="45">
        <v>1.1000000000000001</v>
      </c>
      <c r="C11" s="63" t="s">
        <v>43</v>
      </c>
      <c r="D11" s="66"/>
      <c r="E11" s="25" t="s">
        <v>42</v>
      </c>
      <c r="F11" s="51">
        <v>46015</v>
      </c>
      <c r="G11" s="51">
        <f>WORKDAY(F11, H11-1)</f>
        <v>46028</v>
      </c>
      <c r="H11" s="36">
        <v>10</v>
      </c>
      <c r="I11" s="58">
        <v>1</v>
      </c>
      <c r="J11" s="86">
        <f t="shared" ref="J11:J16" si="14">G11</f>
        <v>46028</v>
      </c>
      <c r="K11" s="37">
        <f t="shared" ref="K11:K16" si="15">IF(G11="","",J11-G11)</f>
        <v>0</v>
      </c>
      <c r="L11" s="69" t="str">
        <f t="shared" ref="L11:L16" si="16">IF(J11&gt;G11,J11-G11,"")</f>
        <v/>
      </c>
      <c r="M11" s="39">
        <f t="shared" si="10"/>
        <v>10</v>
      </c>
      <c r="N11" s="39"/>
      <c r="O11" s="41">
        <f t="shared" si="12"/>
        <v>10</v>
      </c>
      <c r="P11" s="39">
        <f t="shared" si="13"/>
        <v>0</v>
      </c>
      <c r="Q11" s="52"/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</row>
    <row r="12" spans="2:138" s="11" customFormat="1" ht="22.35" customHeight="1">
      <c r="B12" s="45">
        <v>1.2</v>
      </c>
      <c r="C12" s="63" t="s">
        <v>71</v>
      </c>
      <c r="D12" s="66"/>
      <c r="E12" s="25" t="s">
        <v>42</v>
      </c>
      <c r="F12" s="51">
        <v>46015</v>
      </c>
      <c r="G12" s="51">
        <f t="shared" ref="G12:G20" si="17">WORKDAY(F12, H12-1)</f>
        <v>46028</v>
      </c>
      <c r="H12" s="36">
        <v>10</v>
      </c>
      <c r="I12" s="58">
        <v>1</v>
      </c>
      <c r="J12" s="86">
        <f t="shared" si="14"/>
        <v>46028</v>
      </c>
      <c r="K12" s="37">
        <f t="shared" si="15"/>
        <v>0</v>
      </c>
      <c r="L12" s="69" t="str">
        <f t="shared" si="16"/>
        <v/>
      </c>
      <c r="M12" s="39">
        <f t="shared" si="10"/>
        <v>10</v>
      </c>
      <c r="N12" s="39"/>
      <c r="O12" s="41">
        <f t="shared" si="12"/>
        <v>10</v>
      </c>
      <c r="P12" s="39">
        <f t="shared" si="13"/>
        <v>0</v>
      </c>
      <c r="Q12" s="52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</row>
    <row r="13" spans="2:138" s="11" customFormat="1" ht="22.35" customHeight="1">
      <c r="B13" s="45">
        <v>1.3000000000000009</v>
      </c>
      <c r="C13" s="63" t="s">
        <v>45</v>
      </c>
      <c r="D13" s="66"/>
      <c r="E13" s="25" t="s">
        <v>42</v>
      </c>
      <c r="F13" s="51">
        <v>46015</v>
      </c>
      <c r="G13" s="51">
        <f t="shared" si="17"/>
        <v>46028</v>
      </c>
      <c r="H13" s="36">
        <v>10</v>
      </c>
      <c r="I13" s="58">
        <v>1</v>
      </c>
      <c r="J13" s="86">
        <f t="shared" si="14"/>
        <v>46028</v>
      </c>
      <c r="K13" s="37">
        <f t="shared" si="15"/>
        <v>0</v>
      </c>
      <c r="L13" s="69" t="str">
        <f t="shared" si="16"/>
        <v/>
      </c>
      <c r="M13" s="39">
        <f t="shared" si="10"/>
        <v>10</v>
      </c>
      <c r="N13" s="39"/>
      <c r="O13" s="41">
        <f t="shared" si="12"/>
        <v>10</v>
      </c>
      <c r="P13" s="39">
        <f t="shared" si="13"/>
        <v>0</v>
      </c>
      <c r="Q13" s="52"/>
      <c r="R13" s="14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</row>
    <row r="14" spans="2:138" s="11" customFormat="1" ht="22.35" customHeight="1">
      <c r="B14" s="45">
        <v>1.4000000000000017</v>
      </c>
      <c r="C14" s="63" t="s">
        <v>72</v>
      </c>
      <c r="D14" s="66"/>
      <c r="E14" s="25" t="s">
        <v>42</v>
      </c>
      <c r="F14" s="51">
        <v>46015</v>
      </c>
      <c r="G14" s="51">
        <f t="shared" si="17"/>
        <v>46028</v>
      </c>
      <c r="H14" s="36">
        <v>10</v>
      </c>
      <c r="I14" s="58">
        <v>1</v>
      </c>
      <c r="J14" s="86">
        <f t="shared" si="14"/>
        <v>46028</v>
      </c>
      <c r="K14" s="37">
        <f t="shared" si="15"/>
        <v>0</v>
      </c>
      <c r="L14" s="69" t="str">
        <f t="shared" si="16"/>
        <v/>
      </c>
      <c r="M14" s="39">
        <f t="shared" si="10"/>
        <v>10</v>
      </c>
      <c r="N14" s="39"/>
      <c r="O14" s="41">
        <f t="shared" si="12"/>
        <v>10</v>
      </c>
      <c r="P14" s="39">
        <f t="shared" si="13"/>
        <v>0</v>
      </c>
      <c r="Q14" s="52"/>
      <c r="R14" s="14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</row>
    <row r="15" spans="2:138" s="11" customFormat="1" ht="22.35" customHeight="1">
      <c r="B15" s="45">
        <v>1.5000000000000027</v>
      </c>
      <c r="C15" s="63" t="s">
        <v>73</v>
      </c>
      <c r="D15" s="66"/>
      <c r="E15" s="25" t="s">
        <v>42</v>
      </c>
      <c r="F15" s="51">
        <v>46015</v>
      </c>
      <c r="G15" s="51">
        <f>WORKDAY(F15, H15-1)</f>
        <v>46028</v>
      </c>
      <c r="H15" s="36">
        <v>10</v>
      </c>
      <c r="I15" s="58">
        <v>1</v>
      </c>
      <c r="J15" s="86">
        <f>G15</f>
        <v>46028</v>
      </c>
      <c r="K15" s="37">
        <f t="shared" si="15"/>
        <v>0</v>
      </c>
      <c r="L15" s="69" t="str">
        <f t="shared" si="16"/>
        <v/>
      </c>
      <c r="M15" s="39">
        <f t="shared" si="10"/>
        <v>10</v>
      </c>
      <c r="N15" s="39"/>
      <c r="O15" s="41">
        <f t="shared" si="12"/>
        <v>10</v>
      </c>
      <c r="P15" s="39">
        <f t="shared" si="13"/>
        <v>0</v>
      </c>
      <c r="Q15" s="52"/>
      <c r="R15" s="14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</row>
    <row r="16" spans="2:138" s="11" customFormat="1" ht="22.35" customHeight="1">
      <c r="B16" s="45">
        <v>1.6000000000000034</v>
      </c>
      <c r="C16" s="63" t="s">
        <v>74</v>
      </c>
      <c r="D16" s="66"/>
      <c r="E16" s="25" t="s">
        <v>60</v>
      </c>
      <c r="F16" s="51">
        <v>46077</v>
      </c>
      <c r="G16" s="51">
        <f t="shared" si="17"/>
        <v>46083</v>
      </c>
      <c r="H16" s="36">
        <v>5</v>
      </c>
      <c r="I16" s="58">
        <v>0</v>
      </c>
      <c r="J16" s="86">
        <f t="shared" si="14"/>
        <v>46083</v>
      </c>
      <c r="K16" s="37">
        <f t="shared" si="15"/>
        <v>0</v>
      </c>
      <c r="L16" s="69" t="str">
        <f t="shared" si="16"/>
        <v/>
      </c>
      <c r="M16" s="39">
        <f t="shared" si="10"/>
        <v>5</v>
      </c>
      <c r="N16" s="39"/>
      <c r="O16" s="41">
        <f t="shared" si="12"/>
        <v>0</v>
      </c>
      <c r="P16" s="39">
        <f t="shared" si="13"/>
        <v>0</v>
      </c>
      <c r="Q16" s="52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</row>
    <row r="17" spans="2:138" s="11" customFormat="1" ht="24.95" customHeight="1">
      <c r="B17" s="146">
        <v>2</v>
      </c>
      <c r="C17" s="147" t="s">
        <v>10</v>
      </c>
      <c r="D17" s="147"/>
      <c r="E17" s="148" t="s">
        <v>75</v>
      </c>
      <c r="F17" s="149">
        <f>MIN(F18:F22)</f>
        <v>46015</v>
      </c>
      <c r="G17" s="149">
        <f>MAX(G18:G22)</f>
        <v>46038</v>
      </c>
      <c r="H17" s="150">
        <f>IF(F17=0,"",G17-F17+1)</f>
        <v>24</v>
      </c>
      <c r="I17" s="151">
        <f>IFERROR(SUMPRODUCT(H18:H22,I18:I22)/SUM(H18:H22),"")</f>
        <v>0.76086956521739135</v>
      </c>
      <c r="J17" s="34">
        <f>IF(MAX(J18:J22)="","",MAX(J18:J22))</f>
        <v>46038</v>
      </c>
      <c r="K17" s="26">
        <f>J17-F17+1</f>
        <v>24</v>
      </c>
      <c r="L17" s="34"/>
      <c r="M17" s="38">
        <f t="shared" si="10"/>
        <v>18</v>
      </c>
      <c r="N17" s="38">
        <f t="shared" si="11"/>
        <v>18</v>
      </c>
      <c r="O17" s="38">
        <f t="shared" si="12"/>
        <v>18</v>
      </c>
      <c r="P17" s="38">
        <f t="shared" si="13"/>
        <v>18</v>
      </c>
      <c r="Q17" s="42">
        <f>IFERROR(H17-O17,"")</f>
        <v>6</v>
      </c>
      <c r="R17" s="18">
        <f>K17-P17</f>
        <v>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</row>
    <row r="18" spans="2:138" s="11" customFormat="1" ht="22.35" customHeight="1">
      <c r="B18" s="45">
        <v>2.1</v>
      </c>
      <c r="C18" s="63" t="s">
        <v>76</v>
      </c>
      <c r="D18" s="66"/>
      <c r="E18" s="25" t="s">
        <v>53</v>
      </c>
      <c r="F18" s="51">
        <v>46015</v>
      </c>
      <c r="G18" s="51">
        <f t="shared" si="17"/>
        <v>46028</v>
      </c>
      <c r="H18" s="36">
        <v>10</v>
      </c>
      <c r="I18" s="58">
        <v>0.5</v>
      </c>
      <c r="J18" s="86">
        <f t="shared" ref="J18:J22" si="18">G18</f>
        <v>46028</v>
      </c>
      <c r="K18" s="37">
        <f t="shared" ref="K18:K22" si="19">IF(F18="","",J18-F18+1)</f>
        <v>14</v>
      </c>
      <c r="L18" s="69" t="str">
        <f t="shared" ref="L18:L29" si="20">IF(J18&gt;G18,J18-G18,"")</f>
        <v/>
      </c>
      <c r="M18" s="39">
        <f t="shared" ref="M18:M22" si="21">NETWORKDAYS(F18,G18)</f>
        <v>10</v>
      </c>
      <c r="N18" s="39"/>
      <c r="O18" s="41">
        <f t="shared" ref="O18:O22" si="22">IFERROR(ROUNDDOWN(I18*H18,0),"")</f>
        <v>5</v>
      </c>
      <c r="P18" s="39">
        <f t="shared" ref="P18:P22" si="23">IFERROR(ROUNDDOWN(I18*K18,0),"")</f>
        <v>7</v>
      </c>
      <c r="Q18" s="52"/>
      <c r="R18" s="16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</row>
    <row r="19" spans="2:138" s="11" customFormat="1" ht="22.35" customHeight="1">
      <c r="B19" s="45">
        <v>2.2999999999999976</v>
      </c>
      <c r="C19" s="63" t="s">
        <v>77</v>
      </c>
      <c r="D19" s="66"/>
      <c r="E19" s="25" t="s">
        <v>56</v>
      </c>
      <c r="F19" s="51">
        <v>46015</v>
      </c>
      <c r="G19" s="51">
        <v>46038</v>
      </c>
      <c r="H19" s="36">
        <f t="shared" ref="H19:H22" si="24">IF(F19="","",G19-F19+1)</f>
        <v>24</v>
      </c>
      <c r="I19" s="58">
        <v>1</v>
      </c>
      <c r="J19" s="86">
        <f t="shared" si="18"/>
        <v>46038</v>
      </c>
      <c r="K19" s="37">
        <f t="shared" si="19"/>
        <v>24</v>
      </c>
      <c r="L19" s="69" t="str">
        <f t="shared" si="20"/>
        <v/>
      </c>
      <c r="M19" s="39">
        <f t="shared" si="21"/>
        <v>18</v>
      </c>
      <c r="N19" s="39"/>
      <c r="O19" s="41">
        <f t="shared" si="22"/>
        <v>24</v>
      </c>
      <c r="P19" s="39">
        <f t="shared" si="23"/>
        <v>24</v>
      </c>
      <c r="Q19" s="52"/>
      <c r="R19" s="1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</row>
    <row r="20" spans="2:138" s="11" customFormat="1" ht="22.35" customHeight="1">
      <c r="B20" s="45">
        <v>2.3999999999999959</v>
      </c>
      <c r="C20" s="63" t="s">
        <v>78</v>
      </c>
      <c r="D20" s="66"/>
      <c r="E20" s="25" t="s">
        <v>58</v>
      </c>
      <c r="F20" s="51">
        <v>46015</v>
      </c>
      <c r="G20" s="51">
        <f t="shared" si="17"/>
        <v>46028</v>
      </c>
      <c r="H20" s="36">
        <v>10</v>
      </c>
      <c r="I20" s="58">
        <v>0.5</v>
      </c>
      <c r="J20" s="86">
        <f t="shared" si="18"/>
        <v>46028</v>
      </c>
      <c r="K20" s="37">
        <f t="shared" si="19"/>
        <v>14</v>
      </c>
      <c r="L20" s="69" t="str">
        <f t="shared" si="20"/>
        <v/>
      </c>
      <c r="M20" s="39">
        <f t="shared" si="21"/>
        <v>10</v>
      </c>
      <c r="N20" s="39"/>
      <c r="O20" s="41">
        <f t="shared" si="22"/>
        <v>5</v>
      </c>
      <c r="P20" s="39">
        <f t="shared" si="23"/>
        <v>7</v>
      </c>
      <c r="Q20" s="52"/>
      <c r="R20" s="16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</row>
    <row r="21" spans="2:138" s="11" customFormat="1" ht="22.35" customHeight="1">
      <c r="B21" s="45">
        <v>2.4999999999999947</v>
      </c>
      <c r="C21" s="63" t="s">
        <v>79</v>
      </c>
      <c r="D21" s="66"/>
      <c r="E21" s="25" t="s">
        <v>56</v>
      </c>
      <c r="F21" s="51">
        <v>46015</v>
      </c>
      <c r="G21" s="51">
        <v>46038</v>
      </c>
      <c r="H21" s="36">
        <f t="shared" si="24"/>
        <v>24</v>
      </c>
      <c r="I21" s="58">
        <v>1</v>
      </c>
      <c r="J21" s="86">
        <f t="shared" si="18"/>
        <v>46038</v>
      </c>
      <c r="K21" s="37">
        <f t="shared" si="19"/>
        <v>24</v>
      </c>
      <c r="L21" s="69" t="str">
        <f t="shared" si="20"/>
        <v/>
      </c>
      <c r="M21" s="39">
        <f t="shared" si="21"/>
        <v>18</v>
      </c>
      <c r="N21" s="39"/>
      <c r="O21" s="41">
        <f t="shared" si="22"/>
        <v>24</v>
      </c>
      <c r="P21" s="39">
        <f t="shared" si="23"/>
        <v>24</v>
      </c>
      <c r="Q21" s="52"/>
      <c r="R21" s="16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</row>
    <row r="22" spans="2:138" s="11" customFormat="1" ht="22.35" customHeight="1">
      <c r="B22" s="45">
        <v>2.599999999999993</v>
      </c>
      <c r="C22" s="63" t="s">
        <v>80</v>
      </c>
      <c r="D22" s="66"/>
      <c r="E22" s="25" t="s">
        <v>19</v>
      </c>
      <c r="F22" s="51">
        <v>46015</v>
      </c>
      <c r="G22" s="51">
        <v>46038</v>
      </c>
      <c r="H22" s="36">
        <f t="shared" si="24"/>
        <v>24</v>
      </c>
      <c r="I22" s="58">
        <v>0.5</v>
      </c>
      <c r="J22" s="86">
        <f t="shared" si="18"/>
        <v>46038</v>
      </c>
      <c r="K22" s="37">
        <f t="shared" si="19"/>
        <v>24</v>
      </c>
      <c r="L22" s="69" t="str">
        <f t="shared" si="20"/>
        <v/>
      </c>
      <c r="M22" s="39">
        <f t="shared" si="21"/>
        <v>18</v>
      </c>
      <c r="N22" s="39"/>
      <c r="O22" s="41">
        <f t="shared" si="22"/>
        <v>12</v>
      </c>
      <c r="P22" s="39">
        <f t="shared" si="23"/>
        <v>12</v>
      </c>
      <c r="Q22" s="52"/>
      <c r="R22" s="16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</row>
    <row r="23" spans="2:138" s="11" customFormat="1" ht="22.35" customHeight="1">
      <c r="B23" s="140">
        <v>2.7</v>
      </c>
      <c r="C23" s="63" t="s">
        <v>81</v>
      </c>
      <c r="D23" s="66"/>
      <c r="E23" s="25" t="s">
        <v>82</v>
      </c>
      <c r="F23" s="51">
        <v>46024</v>
      </c>
      <c r="G23" s="51">
        <f>WORKDAY(F23, H23-1)</f>
        <v>46065</v>
      </c>
      <c r="H23" s="36">
        <v>30</v>
      </c>
      <c r="I23" s="58">
        <v>0.8</v>
      </c>
      <c r="J23" s="86">
        <f t="shared" ref="J23" si="25">G23</f>
        <v>46065</v>
      </c>
      <c r="K23" s="37">
        <f t="shared" ref="K23" si="26">IF(F23="","",J23-F23+1)</f>
        <v>42</v>
      </c>
      <c r="L23" s="69" t="str">
        <f t="shared" ref="L23" si="27">IF(J23&gt;G23,J23-G23,"")</f>
        <v/>
      </c>
      <c r="M23" s="39">
        <f t="shared" ref="M23:M24" si="28">NETWORKDAYS(F23,G23)</f>
        <v>30</v>
      </c>
      <c r="N23" s="39"/>
      <c r="O23" s="41">
        <f t="shared" ref="O23:O24" si="29">IFERROR(ROUNDDOWN(I23*H23,0),"")</f>
        <v>24</v>
      </c>
      <c r="P23" s="39">
        <f t="shared" ref="P23:P24" si="30">IFERROR(ROUNDDOWN(I23*K23,0),"")</f>
        <v>33</v>
      </c>
      <c r="Q23" s="5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  <c r="EC23" s="92"/>
      <c r="ED23" s="92"/>
      <c r="EE23" s="92"/>
      <c r="EF23" s="92"/>
      <c r="EG23" s="92"/>
      <c r="EH23" s="92"/>
    </row>
    <row r="24" spans="2:138" s="11" customFormat="1" ht="24.95" customHeight="1">
      <c r="B24" s="135">
        <v>3</v>
      </c>
      <c r="C24" s="136" t="s">
        <v>12</v>
      </c>
      <c r="D24" s="136"/>
      <c r="E24" s="152" t="s">
        <v>19</v>
      </c>
      <c r="F24" s="153">
        <f>MIN(F25:F29)</f>
        <v>46038</v>
      </c>
      <c r="G24" s="153">
        <f>MAX(G25:G29)</f>
        <v>46394</v>
      </c>
      <c r="H24" s="154">
        <f>IF(F24=0,"",G24-F24+1)</f>
        <v>357</v>
      </c>
      <c r="I24" s="155">
        <f>IFERROR(SUMPRODUCT(H25:H31,I25:I31)/SUM(H25:H31),"")</f>
        <v>0.72184210526315795</v>
      </c>
      <c r="J24" s="34">
        <f>IF(MAX(J25:J31)="","",MAX(J25:J31))</f>
        <v>46394</v>
      </c>
      <c r="K24" s="26">
        <f>J24-F24+1</f>
        <v>357</v>
      </c>
      <c r="L24" s="34"/>
      <c r="M24" s="38">
        <f t="shared" si="28"/>
        <v>255</v>
      </c>
      <c r="N24" s="38">
        <f t="shared" ref="N24" si="31">NETWORKDAYS(F24,J24)</f>
        <v>255</v>
      </c>
      <c r="O24" s="38">
        <f t="shared" si="29"/>
        <v>257</v>
      </c>
      <c r="P24" s="38">
        <f t="shared" si="30"/>
        <v>257</v>
      </c>
      <c r="Q24" s="42">
        <f>IFERROR(H24-O24,"")</f>
        <v>100</v>
      </c>
      <c r="R24" s="18">
        <f>K24-P24</f>
        <v>100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</row>
    <row r="25" spans="2:138" s="11" customFormat="1" ht="22.35" customHeight="1">
      <c r="B25" s="45">
        <v>3.1</v>
      </c>
      <c r="C25" s="62" t="s">
        <v>83</v>
      </c>
      <c r="D25" s="68"/>
      <c r="E25" s="25" t="s">
        <v>84</v>
      </c>
      <c r="F25" s="51">
        <f>G22</f>
        <v>46038</v>
      </c>
      <c r="G25" s="51">
        <f t="shared" ref="G25:G29" si="32">WORKDAY(F25, H25-1)</f>
        <v>46065</v>
      </c>
      <c r="H25" s="36">
        <v>20</v>
      </c>
      <c r="I25" s="58">
        <v>1</v>
      </c>
      <c r="J25" s="86">
        <f>G25</f>
        <v>46065</v>
      </c>
      <c r="K25" s="37">
        <f>IF(F25="","",J25-F25+1)</f>
        <v>28</v>
      </c>
      <c r="L25" s="69" t="str">
        <f>IF(J25&gt;G25,J25-G25,"")</f>
        <v/>
      </c>
      <c r="M25" s="39">
        <f>NETWORKDAYS(F25,G25)</f>
        <v>20</v>
      </c>
      <c r="N25" s="39"/>
      <c r="O25" s="41"/>
      <c r="P25" s="39"/>
      <c r="Q25" s="52"/>
      <c r="R25" s="16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</row>
    <row r="26" spans="2:138" s="11" customFormat="1" ht="22.35" customHeight="1">
      <c r="B26" s="45">
        <v>3.2</v>
      </c>
      <c r="C26" s="70" t="s">
        <v>85</v>
      </c>
      <c r="D26" s="68"/>
      <c r="E26" s="25" t="s">
        <v>84</v>
      </c>
      <c r="F26" s="51">
        <v>46383</v>
      </c>
      <c r="G26" s="51">
        <f>WORKDAY(F26, H26-1)</f>
        <v>46394</v>
      </c>
      <c r="H26" s="36">
        <v>10</v>
      </c>
      <c r="I26" s="58">
        <v>0.5</v>
      </c>
      <c r="J26" s="86">
        <f>G26</f>
        <v>46394</v>
      </c>
      <c r="K26" s="37">
        <f>IF(F26="","",J26-F26+1)</f>
        <v>12</v>
      </c>
      <c r="L26" s="69" t="str">
        <f>IF(J26&gt;G26,J26-G26,"")</f>
        <v/>
      </c>
      <c r="M26" s="39">
        <f>NETWORKDAYS(F26,G26)</f>
        <v>9</v>
      </c>
      <c r="N26" s="39"/>
      <c r="O26" s="41"/>
      <c r="P26" s="39"/>
      <c r="Q26" s="52"/>
      <c r="R26" s="16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</row>
    <row r="27" spans="2:138" s="11" customFormat="1" ht="22.35" customHeight="1">
      <c r="B27" s="45">
        <v>3.3</v>
      </c>
      <c r="C27" s="70" t="s">
        <v>86</v>
      </c>
      <c r="D27" s="71"/>
      <c r="E27" s="25" t="s">
        <v>84</v>
      </c>
      <c r="F27" s="51">
        <v>46042</v>
      </c>
      <c r="G27" s="51">
        <f>WORKDAY(F27, H27-1)</f>
        <v>46056</v>
      </c>
      <c r="H27" s="36">
        <v>11</v>
      </c>
      <c r="I27" s="58">
        <v>1</v>
      </c>
      <c r="J27" s="90"/>
      <c r="K27" s="74"/>
      <c r="L27" s="76"/>
      <c r="M27" s="77"/>
      <c r="N27" s="77"/>
      <c r="O27" s="78"/>
      <c r="P27" s="77"/>
      <c r="Q27" s="91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92"/>
      <c r="EA27" s="92"/>
      <c r="EB27" s="92"/>
      <c r="EC27" s="92"/>
      <c r="ED27" s="92"/>
      <c r="EE27" s="92"/>
      <c r="EF27" s="92"/>
      <c r="EG27" s="92"/>
      <c r="EH27" s="92"/>
    </row>
    <row r="28" spans="2:138" s="11" customFormat="1" ht="22.35" customHeight="1">
      <c r="B28" s="45">
        <v>3.4</v>
      </c>
      <c r="C28" s="70" t="s">
        <v>87</v>
      </c>
      <c r="D28" s="71"/>
      <c r="E28" s="72" t="s">
        <v>84</v>
      </c>
      <c r="F28" s="51">
        <v>46062</v>
      </c>
      <c r="G28" s="51">
        <f t="shared" si="32"/>
        <v>46065</v>
      </c>
      <c r="H28" s="74">
        <v>4</v>
      </c>
      <c r="I28" s="58">
        <v>0</v>
      </c>
      <c r="J28" s="90"/>
      <c r="K28" s="74"/>
      <c r="L28" s="76"/>
      <c r="M28" s="77"/>
      <c r="N28" s="77"/>
      <c r="O28" s="78"/>
      <c r="P28" s="77"/>
      <c r="Q28" s="91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92"/>
      <c r="EA28" s="92"/>
      <c r="EB28" s="92"/>
      <c r="EC28" s="92"/>
      <c r="ED28" s="92"/>
      <c r="EE28" s="92"/>
      <c r="EF28" s="92"/>
      <c r="EG28" s="92"/>
      <c r="EH28" s="92"/>
    </row>
    <row r="29" spans="2:138" s="11" customFormat="1" ht="22.35" customHeight="1">
      <c r="B29" s="45">
        <v>3.5</v>
      </c>
      <c r="C29" s="70" t="s">
        <v>88</v>
      </c>
      <c r="D29" s="71"/>
      <c r="E29" s="72" t="s">
        <v>84</v>
      </c>
      <c r="F29" s="51">
        <v>46071</v>
      </c>
      <c r="G29" s="51">
        <f t="shared" si="32"/>
        <v>46077</v>
      </c>
      <c r="H29" s="74">
        <v>5</v>
      </c>
      <c r="I29" s="58">
        <v>0</v>
      </c>
      <c r="J29" s="90">
        <f t="shared" ref="J29" si="33">G29</f>
        <v>46077</v>
      </c>
      <c r="K29" s="74">
        <f t="shared" ref="K29" si="34">IF(F29="","",J29-F29+1)</f>
        <v>7</v>
      </c>
      <c r="L29" s="76" t="str">
        <f t="shared" si="20"/>
        <v/>
      </c>
      <c r="M29" s="77">
        <f t="shared" ref="M29:M30" si="35">NETWORKDAYS(F29,G29)</f>
        <v>5</v>
      </c>
      <c r="N29" s="77">
        <f t="shared" ref="N29:N30" si="36">NETWORKDAYS(F29,J29)</f>
        <v>5</v>
      </c>
      <c r="O29" s="78">
        <f t="shared" ref="O29:O30" si="37">IFERROR(ROUNDDOWN(I29*H29,0),"")</f>
        <v>0</v>
      </c>
      <c r="P29" s="77">
        <f t="shared" ref="P29:P30" si="38">IFERROR(ROUNDDOWN(I29*K29,0),"")</f>
        <v>0</v>
      </c>
      <c r="Q29" s="91">
        <f t="shared" ref="Q29" si="39">IFERROR(K29-P29,"")</f>
        <v>7</v>
      </c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  <c r="DR29" s="92"/>
      <c r="DS29" s="92"/>
      <c r="DT29" s="92"/>
      <c r="DU29" s="92"/>
      <c r="DV29" s="92"/>
      <c r="DW29" s="92"/>
      <c r="DX29" s="92"/>
      <c r="DY29" s="92"/>
      <c r="DZ29" s="92"/>
      <c r="EA29" s="92"/>
      <c r="EB29" s="92"/>
      <c r="EC29" s="92"/>
      <c r="ED29" s="92"/>
      <c r="EE29" s="92"/>
      <c r="EF29" s="92"/>
      <c r="EG29" s="92"/>
      <c r="EH29" s="92"/>
    </row>
    <row r="30" spans="2:138">
      <c r="B30" s="135">
        <v>4</v>
      </c>
      <c r="C30" s="136" t="s">
        <v>89</v>
      </c>
      <c r="D30" s="136"/>
      <c r="E30" s="152" t="s">
        <v>19</v>
      </c>
      <c r="F30" s="153">
        <f>MIN(F31:F36)</f>
        <v>46063</v>
      </c>
      <c r="G30" s="153">
        <f>MAX(G31:G37)</f>
        <v>46092</v>
      </c>
      <c r="H30" s="154">
        <f>IF(F30=0,"",G30-F30+1)</f>
        <v>30</v>
      </c>
      <c r="I30" s="155">
        <f>IFERROR(SUMPRODUCT(H31:H38,I31:I38)/SUM(H31:H38),"")</f>
        <v>0.53947368421052633</v>
      </c>
      <c r="J30" s="34">
        <f>IF(MAX(J31:J38)="","",MAX(J31:J38))</f>
        <v>46092</v>
      </c>
      <c r="K30" s="26">
        <f>J30-F30+1</f>
        <v>30</v>
      </c>
      <c r="L30" s="34"/>
      <c r="M30" s="38">
        <f t="shared" si="35"/>
        <v>22</v>
      </c>
      <c r="N30" s="38">
        <f t="shared" si="36"/>
        <v>22</v>
      </c>
      <c r="O30" s="38">
        <f t="shared" si="37"/>
        <v>16</v>
      </c>
      <c r="P30" s="38">
        <f t="shared" si="38"/>
        <v>16</v>
      </c>
      <c r="Q30" s="42">
        <f>IFERROR(H30-O30,"")</f>
        <v>14</v>
      </c>
    </row>
    <row r="31" spans="2:138" ht="16.5" customHeight="1">
      <c r="B31" s="45">
        <v>3.1</v>
      </c>
      <c r="C31" s="70" t="s">
        <v>90</v>
      </c>
      <c r="D31" s="68"/>
      <c r="E31" s="25" t="s">
        <v>91</v>
      </c>
      <c r="F31" s="51">
        <f>G28</f>
        <v>46065</v>
      </c>
      <c r="G31" s="51">
        <f t="shared" ref="G31:G32" si="40">WORKDAY(F31, H31-1)</f>
        <v>46092</v>
      </c>
      <c r="H31" s="36">
        <v>20</v>
      </c>
      <c r="I31" s="58">
        <v>1</v>
      </c>
      <c r="J31" s="86">
        <f>G31</f>
        <v>46092</v>
      </c>
      <c r="K31" s="37"/>
      <c r="L31" s="69"/>
      <c r="M31" s="39"/>
      <c r="N31" s="39"/>
      <c r="O31" s="41"/>
      <c r="P31" s="39"/>
      <c r="Q31" s="52"/>
    </row>
    <row r="32" spans="2:138" ht="16.5" customHeight="1">
      <c r="B32" s="45">
        <v>3.2</v>
      </c>
      <c r="C32" s="171" t="s">
        <v>92</v>
      </c>
      <c r="D32" s="172" t="s">
        <v>93</v>
      </c>
      <c r="E32" s="173" t="s">
        <v>60</v>
      </c>
      <c r="F32" s="174">
        <v>46063</v>
      </c>
      <c r="G32" s="174">
        <f t="shared" si="40"/>
        <v>46063</v>
      </c>
      <c r="H32" s="175">
        <v>1</v>
      </c>
      <c r="I32" s="176">
        <v>0.5</v>
      </c>
      <c r="J32" s="174">
        <f>G32</f>
        <v>46063</v>
      </c>
      <c r="K32" s="177"/>
      <c r="L32" s="175"/>
      <c r="M32" s="169"/>
      <c r="N32" s="169"/>
      <c r="O32" s="169"/>
      <c r="P32" s="169"/>
      <c r="Q32" s="178"/>
    </row>
    <row r="33" spans="2:17" ht="16.5" customHeight="1">
      <c r="B33" s="45">
        <v>3.3</v>
      </c>
      <c r="C33" s="171" t="s">
        <v>94</v>
      </c>
      <c r="D33" s="172" t="s">
        <v>93</v>
      </c>
      <c r="E33" s="173" t="s">
        <v>60</v>
      </c>
      <c r="F33" s="174">
        <f>G32+1</f>
        <v>46064</v>
      </c>
      <c r="G33" s="174">
        <f t="shared" ref="G33" si="41">WORKDAY(F33, H33-1)</f>
        <v>46064</v>
      </c>
      <c r="H33" s="179">
        <v>1</v>
      </c>
      <c r="I33" s="180"/>
      <c r="J33" s="181"/>
      <c r="K33" s="179"/>
      <c r="L33" s="179"/>
      <c r="M33" s="170"/>
      <c r="N33" s="170"/>
      <c r="O33" s="170"/>
      <c r="P33" s="170"/>
      <c r="Q33" s="170"/>
    </row>
    <row r="34" spans="2:17">
      <c r="B34" s="45">
        <v>3.4</v>
      </c>
      <c r="C34" s="70" t="s">
        <v>95</v>
      </c>
      <c r="D34" s="168" t="s">
        <v>93</v>
      </c>
      <c r="E34" s="25" t="s">
        <v>60</v>
      </c>
      <c r="F34" s="51">
        <f>G33+1</f>
        <v>46065</v>
      </c>
      <c r="G34" s="51">
        <f t="shared" ref="G34" si="42">WORKDAY(F34, H34-1)</f>
        <v>46065</v>
      </c>
      <c r="H34" s="74">
        <v>1</v>
      </c>
      <c r="I34" s="75"/>
      <c r="J34" s="90"/>
      <c r="K34" s="74"/>
      <c r="L34" s="76"/>
      <c r="M34" s="77"/>
      <c r="N34" s="77"/>
      <c r="O34" s="78"/>
      <c r="P34" s="77"/>
      <c r="Q34" s="157"/>
    </row>
    <row r="35" spans="2:17">
      <c r="B35" s="45">
        <v>3.5</v>
      </c>
      <c r="C35" s="70" t="s">
        <v>96</v>
      </c>
      <c r="D35" s="168" t="s">
        <v>93</v>
      </c>
      <c r="E35" s="25" t="s">
        <v>69</v>
      </c>
      <c r="F35" s="51">
        <v>46072</v>
      </c>
      <c r="G35" s="51">
        <f t="shared" ref="G35" si="43">WORKDAY(F35, H35-1)</f>
        <v>46078</v>
      </c>
      <c r="H35" s="74">
        <v>5</v>
      </c>
      <c r="I35" s="75"/>
      <c r="J35" s="90"/>
      <c r="K35" s="74"/>
      <c r="L35" s="76"/>
      <c r="M35" s="77"/>
      <c r="N35" s="77"/>
      <c r="O35" s="78"/>
      <c r="P35" s="77"/>
      <c r="Q35" s="157"/>
    </row>
    <row r="36" spans="2:17">
      <c r="B36" s="45">
        <v>3.6</v>
      </c>
      <c r="C36" s="70" t="s">
        <v>97</v>
      </c>
      <c r="D36" s="168" t="s">
        <v>93</v>
      </c>
      <c r="E36" s="25" t="s">
        <v>98</v>
      </c>
      <c r="F36" s="51">
        <v>46072</v>
      </c>
      <c r="G36" s="51">
        <f t="shared" ref="G36" si="44">WORKDAY(F36, H36-1)</f>
        <v>46078</v>
      </c>
      <c r="H36" s="74">
        <v>5</v>
      </c>
      <c r="I36" s="75"/>
      <c r="J36" s="90"/>
      <c r="K36" s="74"/>
      <c r="L36" s="76"/>
      <c r="M36" s="77"/>
      <c r="N36" s="77"/>
      <c r="O36" s="78"/>
      <c r="P36" s="77"/>
      <c r="Q36" s="157"/>
    </row>
    <row r="37" spans="2:17">
      <c r="B37" s="45">
        <v>3.6</v>
      </c>
      <c r="C37" s="70" t="s">
        <v>99</v>
      </c>
      <c r="D37" s="168" t="s">
        <v>93</v>
      </c>
      <c r="E37" s="25" t="s">
        <v>75</v>
      </c>
      <c r="F37" s="51">
        <f>G36+1</f>
        <v>46079</v>
      </c>
      <c r="G37" s="51">
        <f t="shared" ref="G37" si="45">WORKDAY(F37, H37-1)</f>
        <v>46085</v>
      </c>
      <c r="H37" s="74">
        <v>5</v>
      </c>
      <c r="I37" s="75"/>
      <c r="J37" s="90"/>
      <c r="K37" s="74"/>
      <c r="L37" s="76"/>
      <c r="M37" s="77"/>
      <c r="N37" s="77"/>
      <c r="O37" s="78"/>
      <c r="P37" s="77"/>
      <c r="Q37" s="157"/>
    </row>
  </sheetData>
  <mergeCells count="8">
    <mergeCell ref="AJ4:AL4"/>
    <mergeCell ref="D6:E6"/>
    <mergeCell ref="C9:D9"/>
    <mergeCell ref="D4:E4"/>
    <mergeCell ref="T4:V4"/>
    <mergeCell ref="X4:Z4"/>
    <mergeCell ref="AB4:AD4"/>
    <mergeCell ref="AF4:AH4"/>
  </mergeCells>
  <phoneticPr fontId="39" type="noConversion"/>
  <conditionalFormatting sqref="I10">
    <cfRule type="dataBar" priority="146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{A86CB0B4-2C53-4444-82D6-F07C6FA3DBBC}</x14:id>
        </ext>
      </extLst>
    </cfRule>
  </conditionalFormatting>
  <conditionalFormatting sqref="I11 I18 I25:I29">
    <cfRule type="dataBar" priority="14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{7E9B6097-4DF1-442D-97A8-87E37F21651C}</x14:id>
        </ext>
      </extLst>
    </cfRule>
  </conditionalFormatting>
  <conditionalFormatting sqref="I11">
    <cfRule type="dataBar" priority="12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{D93AF1FC-D376-4743-8D11-01462B2058DB}</x14:id>
        </ext>
      </extLst>
    </cfRule>
    <cfRule type="dataBar" priority="14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{2A43A385-BB41-4E20-8FFB-EE4F60373932}</x14:id>
        </ext>
      </extLst>
    </cfRule>
  </conditionalFormatting>
  <conditionalFormatting sqref="I12">
    <cfRule type="dataBar" priority="10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{E27E25AD-28BB-4489-B0E8-8D25638DC7F4}</x14:id>
        </ext>
      </extLst>
    </cfRule>
    <cfRule type="dataBar" priority="10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{EB2D9006-BDBF-4482-BE21-5FEE401C8CEB}</x14:id>
        </ext>
      </extLst>
    </cfRule>
    <cfRule type="dataBar" priority="10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{5F22DB7F-C6A1-486C-92A2-EE0F504932AA}</x14:id>
        </ext>
      </extLst>
    </cfRule>
  </conditionalFormatting>
  <conditionalFormatting sqref="I13">
    <cfRule type="dataBar" priority="99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{553DBD05-D966-4042-872B-8BFE6862114E}</x14:id>
        </ext>
      </extLst>
    </cfRule>
    <cfRule type="dataBar" priority="9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{0326F85D-EAD6-44AB-B8DB-B42EC7E348C1}</x14:id>
        </ext>
      </extLst>
    </cfRule>
    <cfRule type="dataBar" priority="9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{62FCD1C3-EDE7-4AC8-BC08-EDD4C6B040F5}</x14:id>
        </ext>
      </extLst>
    </cfRule>
  </conditionalFormatting>
  <conditionalFormatting sqref="I14">
    <cfRule type="dataBar" priority="9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{CA24EE83-EA5E-409A-A9D4-F5686DA31062}</x14:id>
        </ext>
      </extLst>
    </cfRule>
    <cfRule type="dataBar" priority="9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{0870C5D4-AC49-4A40-97B5-3DCD533DE3C5}</x14:id>
        </ext>
      </extLst>
    </cfRule>
    <cfRule type="dataBar" priority="9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{0F5EF5D3-921C-4442-A56F-C01570C659DC}</x14:id>
        </ext>
      </extLst>
    </cfRule>
    <cfRule type="dataBar" priority="8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{D86A9638-D86F-4E83-92F2-7B86162B8649}</x14:id>
        </ext>
      </extLst>
    </cfRule>
    <cfRule type="dataBar" priority="8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{7AF52193-AE16-4D7B-B039-B685E82BFF76}</x14:id>
        </ext>
      </extLst>
    </cfRule>
    <cfRule type="dataBar" priority="8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{DF29A78B-AE93-473B-8D8E-6D82C354610B}</x14:id>
        </ext>
      </extLst>
    </cfRule>
  </conditionalFormatting>
  <conditionalFormatting sqref="I15">
    <cfRule type="dataBar" priority="8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{639A5E62-2596-42C3-B8FB-69F7638D3A4C}</x14:id>
        </ext>
      </extLst>
    </cfRule>
    <cfRule type="dataBar" priority="80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{DCDA0AF9-8B01-4E88-8A90-94F8830C7142}</x14:id>
        </ext>
      </extLst>
    </cfRule>
    <cfRule type="dataBar" priority="9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{EFB12E77-70A3-4A5C-B07D-169B979484BD}</x14:id>
        </ext>
      </extLst>
    </cfRule>
    <cfRule type="dataBar" priority="8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{BA03542E-3016-49C2-B616-8D5F396EEA69}</x14:id>
        </ext>
      </extLst>
    </cfRule>
    <cfRule type="dataBar" priority="9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{666F3059-81E6-47F6-B5AE-41F26D72B714}</x14:id>
        </ext>
      </extLst>
    </cfRule>
    <cfRule type="dataBar" priority="9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{C185AE63-2BF7-4DFD-8CE7-164A23122A9E}</x14:id>
        </ext>
      </extLst>
    </cfRule>
  </conditionalFormatting>
  <conditionalFormatting sqref="I16">
    <cfRule type="dataBar" priority="7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{BDE8176C-DFA5-4145-8181-A41FE7D4E17B}</x14:id>
        </ext>
      </extLst>
    </cfRule>
    <cfRule type="dataBar" priority="7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{10BE5F52-D34C-4D84-9E3F-5F1C375BA8C1}</x14:id>
        </ext>
      </extLst>
    </cfRule>
    <cfRule type="dataBar" priority="7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{F1FB60F5-6960-4942-B3E7-B2F61EAD14EC}</x14:id>
        </ext>
      </extLst>
    </cfRule>
    <cfRule type="dataBar" priority="6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{CFE8E94F-BAE4-406D-8550-6411F223B6BB}</x14:id>
        </ext>
      </extLst>
    </cfRule>
    <cfRule type="dataBar" priority="7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{039523C0-5DB3-49BB-BA84-E3A383F22B7B}</x14:id>
        </ext>
      </extLst>
    </cfRule>
    <cfRule type="dataBar" priority="6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{6BD2E921-3692-4BDB-B1D0-85FFD5D33077}</x14:id>
        </ext>
      </extLst>
    </cfRule>
    <cfRule type="dataBar" priority="6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{56F71B82-F4C1-4B85-9934-DC1C7934EB16}</x14:id>
        </ext>
      </extLst>
    </cfRule>
    <cfRule type="dataBar" priority="79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{F264297B-CC34-49EC-BAA8-2A537030C4D8}</x14:id>
        </ext>
      </extLst>
    </cfRule>
    <cfRule type="dataBar" priority="7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{A511256A-CF5D-4D4C-A417-52FC50E5C97B}</x14:id>
        </ext>
      </extLst>
    </cfRule>
    <cfRule type="dataBar" priority="7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{411B87C1-5365-4D58-B8A3-D13E5D89F9EE}</x14:id>
        </ext>
      </extLst>
    </cfRule>
    <cfRule type="dataBar" priority="7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{7E4A49C5-7669-4671-927E-30BFC3275C4D}</x14:id>
        </ext>
      </extLst>
    </cfRule>
  </conditionalFormatting>
  <conditionalFormatting sqref="I17">
    <cfRule type="dataBar" priority="134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{EB3A413A-DC50-4CD2-B2BF-5F079438A2A6}</x14:id>
        </ext>
      </extLst>
    </cfRule>
  </conditionalFormatting>
  <conditionalFormatting sqref="I18">
    <cfRule type="dataBar" priority="13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{D6FB0F6F-8FCF-4B80-8D90-DDA501074A91}</x14:id>
        </ext>
      </extLst>
    </cfRule>
  </conditionalFormatting>
  <conditionalFormatting sqref="I19">
    <cfRule type="dataBar" priority="5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{71D8A2EA-A62F-4961-952C-1F632AF26951}</x14:id>
        </ext>
      </extLst>
    </cfRule>
    <cfRule type="dataBar" priority="4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{AE25CF43-AD7C-41CF-B6D6-653C04913312}</x14:id>
        </ext>
      </extLst>
    </cfRule>
    <cfRule type="dataBar" priority="4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{4A342C07-8579-46B1-A9D7-6BF7DE4813F1}</x14:id>
        </ext>
      </extLst>
    </cfRule>
    <cfRule type="dataBar" priority="5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{983A5B54-0A25-4F05-A62A-6334D4C9EEE8}</x14:id>
        </ext>
      </extLst>
    </cfRule>
    <cfRule type="dataBar" priority="5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{A2BB9C2F-2676-4B5B-A101-FD4ED90DB572}</x14:id>
        </ext>
      </extLst>
    </cfRule>
    <cfRule type="dataBar" priority="5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{E28D0CAF-EC55-460A-A70C-EF11C0CE5A4D}</x14:id>
        </ext>
      </extLst>
    </cfRule>
  </conditionalFormatting>
  <conditionalFormatting sqref="I20">
    <cfRule type="dataBar" priority="2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{CC1A4AF4-AC66-47C9-92FA-166D4C48BE94}</x14:id>
        </ext>
      </extLst>
    </cfRule>
    <cfRule type="dataBar" priority="4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{8C4BD0A3-F70A-49ED-B08A-7E1263BE9F3A}</x14:id>
        </ext>
      </extLst>
    </cfRule>
    <cfRule type="dataBar" priority="4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{4EB36628-6BC3-436C-8361-22C704BF070F}</x14:id>
        </ext>
      </extLst>
    </cfRule>
    <cfRule type="dataBar" priority="4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{9B3A6667-C72F-41CB-AE86-1C2EF9B9EF2A}</x14:id>
        </ext>
      </extLst>
    </cfRule>
    <cfRule type="dataBar" priority="3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{C0396CBA-3E51-46A9-917F-920A4E89617D}</x14:id>
        </ext>
      </extLst>
    </cfRule>
    <cfRule type="dataBar" priority="3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{2224C390-5275-4331-9EBB-4EE83044D24D}</x14:id>
        </ext>
      </extLst>
    </cfRule>
    <cfRule type="dataBar" priority="3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{9389257A-9658-40E1-B52A-FB23C7291ACC}</x14:id>
        </ext>
      </extLst>
    </cfRule>
  </conditionalFormatting>
  <conditionalFormatting sqref="I21">
    <cfRule type="dataBar" priority="2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{F51BC671-345D-41C6-896B-402274838B49}</x14:id>
        </ext>
      </extLst>
    </cfRule>
    <cfRule type="dataBar" priority="20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{FAA9B927-121D-4A4C-9421-95649185123A}</x14:id>
        </ext>
      </extLst>
    </cfRule>
    <cfRule type="dataBar" priority="19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{BE11CD12-A5F2-412F-8F88-A0EBB2AD37A5}</x14:id>
        </ext>
      </extLst>
    </cfRule>
    <cfRule type="dataBar" priority="1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{B02DEC0C-0B77-41DC-8F6D-D13E62A2A4BE}</x14:id>
        </ext>
      </extLst>
    </cfRule>
    <cfRule type="dataBar" priority="2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{D605A1C8-7183-4DB8-A196-45306530145B}</x14:id>
        </ext>
      </extLst>
    </cfRule>
    <cfRule type="dataBar" priority="9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{1C512B9F-D0A9-41B8-8414-F5BFCFAED361}</x14:id>
        </ext>
      </extLst>
    </cfRule>
  </conditionalFormatting>
  <conditionalFormatting sqref="I21:I23">
    <cfRule type="dataBar" priority="2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{FB90F78D-4EE0-4CD9-9E3C-3BED73301BDF}</x14:id>
        </ext>
      </extLst>
    </cfRule>
    <cfRule type="dataBar" priority="2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{9B2556C3-73E8-45E8-98EC-610BFE213CC6}</x14:id>
        </ext>
      </extLst>
    </cfRule>
    <cfRule type="dataBar" priority="10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{EE21DFCB-86CF-47F7-A766-1A7C28BA2C1B}</x14:id>
        </ext>
      </extLst>
    </cfRule>
    <cfRule type="dataBar" priority="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{AFC78FF4-B43B-49CB-8EAC-13097239C781}</x14:id>
        </ext>
      </extLst>
    </cfRule>
  </conditionalFormatting>
  <conditionalFormatting sqref="I22:I23">
    <cfRule type="dataBar" priority="2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{40438526-2755-4714-AECF-CFD474164F03}</x14:id>
        </ext>
      </extLst>
    </cfRule>
    <cfRule type="dataBar" priority="2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{2B1DF1A9-75F4-47FC-8B78-C92C171B925D}</x14:id>
        </ext>
      </extLst>
    </cfRule>
    <cfRule type="dataBar" priority="1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{458D31B7-B9B6-42DD-8FA9-C6C6637E23E9}</x14:id>
        </ext>
      </extLst>
    </cfRule>
    <cfRule type="dataBar" priority="1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{A700472A-1D37-48C5-A9FF-4741D28ADB57}</x14:id>
        </ext>
      </extLst>
    </cfRule>
    <cfRule type="dataBar" priority="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{E7741F83-7837-4269-B91F-E2D8BF2AD36F}</x14:id>
        </ext>
      </extLst>
    </cfRule>
    <cfRule type="dataBar" priority="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{CEBA856E-EC97-4614-B62F-EAC23F1CF7D4}</x14:id>
        </ext>
      </extLst>
    </cfRule>
    <cfRule type="dataBar" priority="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{72D9FFA5-2557-44F3-8D28-8A0D4FABB492}</x14:id>
        </ext>
      </extLst>
    </cfRule>
  </conditionalFormatting>
  <conditionalFormatting sqref="I24">
    <cfRule type="dataBar" priority="4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{D9C30DD6-AF66-4EE0-B2E5-659C48BE178B}</x14:id>
        </ext>
      </extLst>
    </cfRule>
  </conditionalFormatting>
  <conditionalFormatting sqref="I30">
    <cfRule type="dataBar" priority="3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{0C51CE34-F036-4AF0-A0D5-3B80A55B4C27}</x14:id>
        </ext>
      </extLst>
    </cfRule>
  </conditionalFormatting>
  <conditionalFormatting sqref="I31:I37">
    <cfRule type="dataBar" priority="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{004DA9D4-C8F1-4359-A768-23FAED158DA9}</x14:id>
        </ext>
      </extLst>
    </cfRule>
  </conditionalFormatting>
  <conditionalFormatting sqref="J11:J16 L11:L16 J18:J23 L18:L23 J25:J29 L25:L29">
    <cfRule type="expression" dxfId="67" priority="68">
      <formula>$G11&lt;$J11</formula>
    </cfRule>
  </conditionalFormatting>
  <conditionalFormatting sqref="J31:J37 L31:L37">
    <cfRule type="expression" dxfId="66" priority="1">
      <formula>$G31&lt;$J31</formula>
    </cfRule>
  </conditionalFormatting>
  <conditionalFormatting sqref="S9:DY29">
    <cfRule type="expression" dxfId="65" priority="11">
      <formula>S$9=$D$4</formula>
    </cfRule>
  </conditionalFormatting>
  <conditionalFormatting sqref="S7:EH7">
    <cfRule type="expression" dxfId="64" priority="147">
      <formula>YEAR(S7)=YEAR(S9)</formula>
    </cfRule>
  </conditionalFormatting>
  <conditionalFormatting sqref="S8:EH8">
    <cfRule type="expression" dxfId="63" priority="148">
      <formula>S$9=$D$4</formula>
    </cfRule>
  </conditionalFormatting>
  <conditionalFormatting sqref="S8:EH9">
    <cfRule type="expression" dxfId="62" priority="141">
      <formula>WEEKDAY(S$9,2)=6</formula>
    </cfRule>
    <cfRule type="expression" dxfId="61" priority="142">
      <formula>WEEKDAY(S$9,2)=7</formula>
    </cfRule>
  </conditionalFormatting>
  <conditionalFormatting sqref="S10:EH10 S17:EH17 S24:EH24">
    <cfRule type="expression" dxfId="60" priority="152">
      <formula>IF($K10&gt;$H10,AND(S$9&gt;=$F10,S$9&lt;=$J10-$R10),AND(S$9&gt;=$F10,S$9&lt;=$G10-$Q10))</formula>
    </cfRule>
    <cfRule type="expression" dxfId="59" priority="154">
      <formula>AND(S$9&gt;=$F10,S$9&lt;=$G10)</formula>
    </cfRule>
  </conditionalFormatting>
  <conditionalFormatting sqref="S10:EH11 S17:EH18 S24:EH29">
    <cfRule type="expression" dxfId="58" priority="153">
      <formula>AND(S$9&gt;$G10,S$9&lt;=$J10)</formula>
    </cfRule>
  </conditionalFormatting>
  <conditionalFormatting sqref="S11:EH11 S18:EH18 S25:EH29">
    <cfRule type="expression" dxfId="57" priority="155">
      <formula>AND(S$9&gt;=$F11,S$9&lt;=$G11)</formula>
    </cfRule>
  </conditionalFormatting>
  <conditionalFormatting sqref="S11:EH16 S18:EH23 S25:EH29">
    <cfRule type="expression" dxfId="56" priority="69">
      <formula>IF($K11&gt;$H11,AND(S$9&gt;=$F11,S$9&lt;=$J11-$Q11),AND(S$9&gt;=$F11,S$9&lt;=$G11-$Q11))</formula>
    </cfRule>
  </conditionalFormatting>
  <conditionalFormatting sqref="S12:EH16 S19:EH23">
    <cfRule type="expression" dxfId="55" priority="71">
      <formula>AND(S$9&gt;=$F12,S$9&lt;=$G12)</formula>
    </cfRule>
    <cfRule type="expression" dxfId="54" priority="70">
      <formula>AND(S$9&gt;$G12,S$9&lt;=$J12)</formula>
    </cfRule>
  </conditionalFormatting>
  <conditionalFormatting sqref="DZ9:EH9">
    <cfRule type="expression" dxfId="53" priority="149">
      <formula>DZ$9=$D$4</formula>
    </cfRule>
  </conditionalFormatting>
  <dataValidations disablePrompts="1" count="1">
    <dataValidation type="list" allowBlank="1" showInputMessage="1" showErrorMessage="1" sqref="D6:E6" xr:uid="{00000000-0002-0000-0200-000000000000}">
      <formula1>"월요일,화요일,수요일,목요일,금요일,토요일,일요일"</formula1>
    </dataValidation>
  </dataValidations>
  <hyperlinks>
    <hyperlink ref="D32" r:id="rId1" xr:uid="{F5120597-FDE7-4C79-9FBA-EA8720966353}"/>
    <hyperlink ref="D33" r:id="rId2" xr:uid="{FD137789-2D09-46B1-B14F-643E6958A4AC}"/>
    <hyperlink ref="D34" r:id="rId3" xr:uid="{73140B44-81B6-4A3D-9182-5581C9FAB38F}"/>
    <hyperlink ref="D35" r:id="rId4" xr:uid="{BE824DC3-9112-4CFB-811E-65EC8A11DEF5}"/>
    <hyperlink ref="D36" r:id="rId5" xr:uid="{7401533D-8255-420B-998A-96C7B7B1C1B1}"/>
    <hyperlink ref="D37" r:id="rId6" xr:uid="{A8A6F13D-B5B2-41B5-9E73-C24C9CB345D8}"/>
  </hyperlinks>
  <pageMargins left="0.69999998807907104" right="0.69999998807907104" top="0.75" bottom="0.75" header="0.30000001192092896" footer="0.30000001192092896"/>
  <pageSetup paperSize="8" fitToWidth="0" orientation="landscape"/>
  <drawing r:id="rId7"/>
  <legacy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6CB0B4-2C53-4444-82D6-F07C6FA3DB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7E9B6097-4DF1-442D-97A8-87E37F2165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 I18 I25:I29</xm:sqref>
        </x14:conditionalFormatting>
        <x14:conditionalFormatting xmlns:xm="http://schemas.microsoft.com/office/excel/2006/main">
          <x14:cfRule type="dataBar" id="{D93AF1FC-D376-4743-8D11-01462B2058D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A43A385-BB41-4E20-8FFB-EE4F60373932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</xm:sqref>
        </x14:conditionalFormatting>
        <x14:conditionalFormatting xmlns:xm="http://schemas.microsoft.com/office/excel/2006/main">
          <x14:cfRule type="dataBar" id="{E27E25AD-28BB-4489-B0E8-8D25638DC7F4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B2D9006-BDBF-4482-BE21-5FEE401C8CE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F22DB7F-C6A1-486C-92A2-EE0F504932A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I12</xm:sqref>
        </x14:conditionalFormatting>
        <x14:conditionalFormatting xmlns:xm="http://schemas.microsoft.com/office/excel/2006/main">
          <x14:cfRule type="dataBar" id="{553DBD05-D966-4042-872B-8BFE6862114E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26F85D-EAD6-44AB-B8DB-B42EC7E348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2FCD1C3-EDE7-4AC8-BC08-EDD4C6B040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I13</xm:sqref>
        </x14:conditionalFormatting>
        <x14:conditionalFormatting xmlns:xm="http://schemas.microsoft.com/office/excel/2006/main">
          <x14:cfRule type="dataBar" id="{CA24EE83-EA5E-409A-A9D4-F5686DA31062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870C5D4-AC49-4A40-97B5-3DCD533DE3C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5EF5D3-921C-4442-A56F-C01570C659D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86A9638-D86F-4E83-92F2-7B86162B8649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AF52193-AE16-4D7B-B039-B685E82BFF7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F29A78B-AE93-473B-8D8E-6D82C35461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639A5E62-2596-42C3-B8FB-69F7638D3A4C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CDA0AF9-8B01-4E88-8A90-94F8830C714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FB12E77-70A3-4A5C-B07D-169B979484BD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A03542E-3016-49C2-B616-8D5F396EEA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66F3059-81E6-47F6-B5AE-41F26D72B71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85AE63-2BF7-4DFD-8CE7-164A23122A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BDE8176C-DFA5-4145-8181-A41FE7D4E1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0BE5F52-D34C-4D84-9E3F-5F1C375BA8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1FB60F5-6960-4942-B3E7-B2F61EAD14EC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FE8E94F-BAE4-406D-8550-6411F223B6BB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39523C0-5DB3-49BB-BA84-E3A383F22B7B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6BD2E921-3692-4BDB-B1D0-85FFD5D3307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6F71B82-F4C1-4B85-9934-DC1C7934EB1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264297B-CC34-49EC-BAA8-2A537030C4D8}">
            <x14:dataBar direction="leftToRight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511256A-CF5D-4D4C-A417-52FC50E5C97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11B87C1-5365-4D58-B8A3-D13E5D89F9E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E4A49C5-7669-4671-927E-30BFC3275C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EB3A413A-DC50-4CD2-B2BF-5F079438A2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I17</xm:sqref>
        </x14:conditionalFormatting>
        <x14:conditionalFormatting xmlns:xm="http://schemas.microsoft.com/office/excel/2006/main">
          <x14:cfRule type="dataBar" id="{D6FB0F6F-8FCF-4B80-8D90-DDA501074A9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71D8A2EA-A62F-4961-952C-1F632AF269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E25CF43-AD7C-41CF-B6D6-653C0491331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A342C07-8579-46B1-A9D7-6BF7DE4813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83A5B54-0A25-4F05-A62A-6334D4C9EEE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2BB9C2F-2676-4B5B-A101-FD4ED90DB57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28D0CAF-EC55-460A-A70C-EF11C0CE5A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I19</xm:sqref>
        </x14:conditionalFormatting>
        <x14:conditionalFormatting xmlns:xm="http://schemas.microsoft.com/office/excel/2006/main">
          <x14:cfRule type="dataBar" id="{CC1A4AF4-AC66-47C9-92FA-166D4C48BE9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C4BD0A3-F70A-49ED-B08A-7E1263BE9F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EB36628-6BC3-436C-8361-22C704BF07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3A6667-C72F-41CB-AE86-1C2EF9B9EF2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0396CBA-3E51-46A9-917F-920A4E8961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224C390-5275-4331-9EBB-4EE83044D24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389257A-9658-40E1-B52A-FB23C7291A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I20</xm:sqref>
        </x14:conditionalFormatting>
        <x14:conditionalFormatting xmlns:xm="http://schemas.microsoft.com/office/excel/2006/main">
          <x14:cfRule type="dataBar" id="{F51BC671-345D-41C6-896B-402274838B4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AA9B927-121D-4A4C-9421-95649185123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E11CD12-A5F2-412F-8F88-A0EBB2AD37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02DEC0C-0B77-41DC-8F6D-D13E62A2A4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605A1C8-7183-4DB8-A196-45306530145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C512B9F-D0A9-41B8-8414-F5BFCFAED36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I21</xm:sqref>
        </x14:conditionalFormatting>
        <x14:conditionalFormatting xmlns:xm="http://schemas.microsoft.com/office/excel/2006/main">
          <x14:cfRule type="dataBar" id="{FB90F78D-4EE0-4CD9-9E3C-3BED73301BD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9B2556C3-73E8-45E8-98EC-610BFE213C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E21DFCB-86CF-47F7-A766-1A7C28BA2C1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FC78FF4-B43B-49CB-8EAC-13097239C7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I21:I23</xm:sqref>
        </x14:conditionalFormatting>
        <x14:conditionalFormatting xmlns:xm="http://schemas.microsoft.com/office/excel/2006/main">
          <x14:cfRule type="dataBar" id="{40438526-2755-4714-AECF-CFD474164F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B1DF1A9-75F4-47FC-8B78-C92C171B925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58D31B7-B9B6-42DD-8FA9-C6C6637E23E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700472A-1D37-48C5-A9FF-4741D28ADB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E7741F83-7837-4269-B91F-E2D8BF2AD36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EBA856E-EC97-4614-B62F-EAC23F1CF7D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72D9FFA5-2557-44F3-8D28-8A0D4FABB49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I22:I23</xm:sqref>
        </x14:conditionalFormatting>
        <x14:conditionalFormatting xmlns:xm="http://schemas.microsoft.com/office/excel/2006/main">
          <x14:cfRule type="dataBar" id="{D9C30DD6-AF66-4EE0-B2E5-659C48BE178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I24</xm:sqref>
        </x14:conditionalFormatting>
        <x14:conditionalFormatting xmlns:xm="http://schemas.microsoft.com/office/excel/2006/main">
          <x14:cfRule type="dataBar" id="{0C51CE34-F036-4AF0-A0D5-3B80A55B4C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I30</xm:sqref>
        </x14:conditionalFormatting>
        <x14:conditionalFormatting xmlns:xm="http://schemas.microsoft.com/office/excel/2006/main">
          <x14:cfRule type="dataBar" id="{004DA9D4-C8F1-4359-A768-23FAED158DA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I31:I37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/>
  <dimension ref="B1:EH32"/>
  <sheetViews>
    <sheetView topLeftCell="A10" zoomScaleNormal="75" zoomScaleSheetLayoutView="100" workbookViewId="0">
      <selection activeCell="G30" sqref="G30"/>
    </sheetView>
  </sheetViews>
  <sheetFormatPr defaultColWidth="9.125" defaultRowHeight="13.5" outlineLevelCol="1"/>
  <cols>
    <col min="1" max="1" width="2.625" style="4" customWidth="1"/>
    <col min="2" max="2" width="7.375" style="4" customWidth="1"/>
    <col min="3" max="3" width="27" style="4" bestFit="1" customWidth="1"/>
    <col min="4" max="4" width="12.75" style="4" customWidth="1"/>
    <col min="5" max="5" width="9.125" style="4"/>
    <col min="6" max="6" width="12.875" style="4" bestFit="1" customWidth="1"/>
    <col min="7" max="7" width="13" style="4" bestFit="1" customWidth="1"/>
    <col min="8" max="8" width="8.75" style="4" bestFit="1" customWidth="1"/>
    <col min="9" max="9" width="12.25" style="4" customWidth="1"/>
    <col min="10" max="10" width="13" style="4" bestFit="1" customWidth="1"/>
    <col min="11" max="11" width="8.75" style="4" bestFit="1" customWidth="1"/>
    <col min="12" max="12" width="7.625" style="4" bestFit="1" customWidth="1"/>
    <col min="13" max="13" width="11.875" style="4" hidden="1" customWidth="1" outlineLevel="1"/>
    <col min="14" max="14" width="12.125" style="4" customWidth="1" collapsed="1"/>
    <col min="15" max="16" width="11.875" style="4" hidden="1" customWidth="1" outlineLevel="1"/>
    <col min="17" max="17" width="9.625" style="4" customWidth="1" collapsed="1"/>
    <col min="18" max="18" width="8.375" style="4" hidden="1" customWidth="1" outlineLevel="1"/>
    <col min="19" max="19" width="3.625" style="5" customWidth="1" collapsed="1"/>
    <col min="20" max="138" width="3.625" style="5" customWidth="1"/>
    <col min="139" max="139" width="2.625" style="4" customWidth="1"/>
    <col min="140" max="16384" width="9.125" style="4"/>
  </cols>
  <sheetData>
    <row r="1" spans="2:138" s="1" customFormat="1" ht="50.1" customHeight="1">
      <c r="B1" s="55" t="s">
        <v>100</v>
      </c>
      <c r="C1" s="55"/>
      <c r="D1" s="55"/>
      <c r="E1" s="55"/>
      <c r="F1" s="55"/>
      <c r="H1" s="5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spans="2:138" s="3" customFormat="1" ht="9.9499999999999993" customHeight="1"/>
    <row r="3" spans="2:138" ht="20.100000000000001" customHeight="1"/>
    <row r="4" spans="2:138" ht="23.1" customHeight="1">
      <c r="C4" s="20" t="s">
        <v>17</v>
      </c>
      <c r="D4" s="193">
        <f ca="1">TODAY()</f>
        <v>46065</v>
      </c>
      <c r="E4" s="193"/>
      <c r="F4" s="56" t="s">
        <v>18</v>
      </c>
      <c r="G4" s="53" t="s">
        <v>75</v>
      </c>
      <c r="H4" s="48"/>
      <c r="I4" s="50" t="s">
        <v>20</v>
      </c>
      <c r="S4" s="27"/>
      <c r="T4" s="190" t="s">
        <v>21</v>
      </c>
      <c r="U4" s="190"/>
      <c r="V4" s="190"/>
      <c r="W4" s="28"/>
      <c r="X4" s="190" t="s">
        <v>22</v>
      </c>
      <c r="Y4" s="190"/>
      <c r="Z4" s="190"/>
      <c r="AA4" s="29"/>
      <c r="AB4" s="190" t="s">
        <v>23</v>
      </c>
      <c r="AC4" s="190"/>
      <c r="AD4" s="190"/>
      <c r="AE4" s="30"/>
      <c r="AF4" s="190" t="s">
        <v>24</v>
      </c>
      <c r="AG4" s="190"/>
      <c r="AH4" s="190"/>
      <c r="AI4" s="31"/>
      <c r="AJ4" s="190" t="s">
        <v>25</v>
      </c>
      <c r="AK4" s="190"/>
      <c r="AL4" s="190"/>
      <c r="AM4" s="48"/>
      <c r="AN4" s="48"/>
      <c r="AO4" s="6"/>
      <c r="AP4" s="6"/>
      <c r="AQ4" s="6"/>
    </row>
    <row r="5" spans="2:138" ht="5.0999999999999996" customHeight="1">
      <c r="C5" s="21"/>
      <c r="D5" s="21"/>
      <c r="E5" s="21"/>
      <c r="F5" s="57"/>
      <c r="G5" s="21"/>
      <c r="H5" s="21"/>
      <c r="N5" s="6"/>
      <c r="O5" s="6"/>
      <c r="X5" s="7"/>
    </row>
    <row r="6" spans="2:138" ht="23.1" customHeight="1">
      <c r="C6" s="20" t="s">
        <v>26</v>
      </c>
      <c r="D6" s="191" t="s">
        <v>27</v>
      </c>
      <c r="E6" s="191"/>
      <c r="F6" s="56" t="s">
        <v>3</v>
      </c>
      <c r="G6" s="54">
        <v>46082</v>
      </c>
      <c r="H6" s="48"/>
      <c r="I6" s="61">
        <v>1</v>
      </c>
      <c r="J6" s="8">
        <v>0</v>
      </c>
      <c r="L6" s="8"/>
      <c r="N6" s="6"/>
      <c r="O6" s="6"/>
    </row>
    <row r="7" spans="2:138" ht="24.95" customHeight="1">
      <c r="R7" s="5"/>
      <c r="S7" s="49" t="str">
        <f>TEXT(DATE(YEAR(S9),MONTH(S9),DAY(S9)),"M월")</f>
        <v>3월</v>
      </c>
      <c r="T7" s="49" t="str">
        <f>IF(MONTH(T9)&lt;&gt;MONTH(S9),TEXT(DATE(YEAR(T9),MONTH(T9),DAY(T9)),"M월"),"")</f>
        <v/>
      </c>
      <c r="U7" s="49" t="str">
        <f t="shared" ref="U7:EH7" si="0">IF(MONTH(U9)&lt;&gt;MONTH(T9),TEXT(DATE(YEAR(U9),MONTH(U9),DAY(U9)),"M월"),"")</f>
        <v/>
      </c>
      <c r="V7" s="49" t="str">
        <f t="shared" si="0"/>
        <v/>
      </c>
      <c r="W7" s="49" t="str">
        <f t="shared" si="0"/>
        <v/>
      </c>
      <c r="X7" s="49" t="str">
        <f t="shared" si="0"/>
        <v/>
      </c>
      <c r="Y7" s="49" t="str">
        <f t="shared" si="0"/>
        <v/>
      </c>
      <c r="Z7" s="49" t="str">
        <f t="shared" si="0"/>
        <v/>
      </c>
      <c r="AA7" s="49" t="str">
        <f t="shared" si="0"/>
        <v/>
      </c>
      <c r="AB7" s="49" t="str">
        <f t="shared" si="0"/>
        <v/>
      </c>
      <c r="AC7" s="49" t="str">
        <f t="shared" si="0"/>
        <v/>
      </c>
      <c r="AD7" s="49" t="str">
        <f t="shared" si="0"/>
        <v/>
      </c>
      <c r="AE7" s="49" t="str">
        <f t="shared" si="0"/>
        <v/>
      </c>
      <c r="AF7" s="49" t="str">
        <f t="shared" si="0"/>
        <v/>
      </c>
      <c r="AG7" s="49" t="str">
        <f t="shared" si="0"/>
        <v/>
      </c>
      <c r="AH7" s="49" t="str">
        <f t="shared" si="0"/>
        <v/>
      </c>
      <c r="AI7" s="49" t="str">
        <f t="shared" si="0"/>
        <v/>
      </c>
      <c r="AJ7" s="49" t="str">
        <f t="shared" si="0"/>
        <v/>
      </c>
      <c r="AK7" s="49" t="str">
        <f t="shared" si="0"/>
        <v/>
      </c>
      <c r="AL7" s="49" t="str">
        <f t="shared" si="0"/>
        <v/>
      </c>
      <c r="AM7" s="49" t="str">
        <f t="shared" si="0"/>
        <v/>
      </c>
      <c r="AN7" s="49" t="str">
        <f t="shared" si="0"/>
        <v/>
      </c>
      <c r="AO7" s="49" t="str">
        <f t="shared" si="0"/>
        <v/>
      </c>
      <c r="AP7" s="49" t="str">
        <f t="shared" si="0"/>
        <v/>
      </c>
      <c r="AQ7" s="49" t="str">
        <f t="shared" si="0"/>
        <v/>
      </c>
      <c r="AR7" s="49" t="str">
        <f t="shared" si="0"/>
        <v/>
      </c>
      <c r="AS7" s="49" t="str">
        <f t="shared" si="0"/>
        <v/>
      </c>
      <c r="AT7" s="49" t="str">
        <f t="shared" si="0"/>
        <v/>
      </c>
      <c r="AU7" s="49" t="str">
        <f t="shared" si="0"/>
        <v/>
      </c>
      <c r="AV7" s="49" t="str">
        <f t="shared" si="0"/>
        <v/>
      </c>
      <c r="AW7" s="49" t="str">
        <f t="shared" si="0"/>
        <v>4월</v>
      </c>
      <c r="AX7" s="49" t="str">
        <f t="shared" si="0"/>
        <v/>
      </c>
      <c r="AY7" s="49" t="str">
        <f t="shared" si="0"/>
        <v/>
      </c>
      <c r="AZ7" s="49" t="str">
        <f t="shared" si="0"/>
        <v/>
      </c>
      <c r="BA7" s="49" t="str">
        <f t="shared" si="0"/>
        <v/>
      </c>
      <c r="BB7" s="49" t="str">
        <f t="shared" si="0"/>
        <v/>
      </c>
      <c r="BC7" s="49" t="str">
        <f t="shared" si="0"/>
        <v/>
      </c>
      <c r="BD7" s="49" t="str">
        <f t="shared" si="0"/>
        <v/>
      </c>
      <c r="BE7" s="49" t="str">
        <f t="shared" si="0"/>
        <v/>
      </c>
      <c r="BF7" s="49" t="str">
        <f t="shared" si="0"/>
        <v/>
      </c>
      <c r="BG7" s="49" t="str">
        <f t="shared" si="0"/>
        <v/>
      </c>
      <c r="BH7" s="49" t="str">
        <f t="shared" si="0"/>
        <v/>
      </c>
      <c r="BI7" s="49" t="str">
        <f t="shared" si="0"/>
        <v/>
      </c>
      <c r="BJ7" s="49" t="str">
        <f t="shared" si="0"/>
        <v/>
      </c>
      <c r="BK7" s="49" t="str">
        <f t="shared" si="0"/>
        <v/>
      </c>
      <c r="BL7" s="49" t="str">
        <f t="shared" si="0"/>
        <v/>
      </c>
      <c r="BM7" s="49" t="str">
        <f t="shared" si="0"/>
        <v/>
      </c>
      <c r="BN7" s="49" t="str">
        <f t="shared" si="0"/>
        <v/>
      </c>
      <c r="BO7" s="49" t="str">
        <f t="shared" si="0"/>
        <v/>
      </c>
      <c r="BP7" s="49" t="str">
        <f t="shared" si="0"/>
        <v/>
      </c>
      <c r="BQ7" s="49" t="str">
        <f t="shared" si="0"/>
        <v/>
      </c>
      <c r="BR7" s="49" t="str">
        <f t="shared" si="0"/>
        <v/>
      </c>
      <c r="BS7" s="49" t="str">
        <f t="shared" si="0"/>
        <v/>
      </c>
      <c r="BT7" s="49" t="str">
        <f t="shared" si="0"/>
        <v/>
      </c>
      <c r="BU7" s="49" t="str">
        <f t="shared" si="0"/>
        <v/>
      </c>
      <c r="BV7" s="49" t="str">
        <f t="shared" si="0"/>
        <v/>
      </c>
      <c r="BW7" s="49" t="str">
        <f t="shared" si="0"/>
        <v/>
      </c>
      <c r="BX7" s="49" t="str">
        <f t="shared" si="0"/>
        <v/>
      </c>
      <c r="BY7" s="49" t="str">
        <f t="shared" si="0"/>
        <v/>
      </c>
      <c r="BZ7" s="49" t="str">
        <f t="shared" si="0"/>
        <v/>
      </c>
      <c r="CA7" s="49" t="str">
        <f t="shared" si="0"/>
        <v>5월</v>
      </c>
      <c r="CB7" s="49" t="str">
        <f t="shared" si="0"/>
        <v/>
      </c>
      <c r="CC7" s="49" t="str">
        <f t="shared" si="0"/>
        <v/>
      </c>
      <c r="CD7" s="49" t="str">
        <f t="shared" si="0"/>
        <v/>
      </c>
      <c r="CE7" s="49" t="str">
        <f t="shared" si="0"/>
        <v/>
      </c>
      <c r="CF7" s="49" t="str">
        <f t="shared" si="0"/>
        <v/>
      </c>
      <c r="CG7" s="49" t="str">
        <f t="shared" si="0"/>
        <v/>
      </c>
      <c r="CH7" s="49" t="str">
        <f t="shared" si="0"/>
        <v/>
      </c>
      <c r="CI7" s="49" t="str">
        <f t="shared" si="0"/>
        <v/>
      </c>
      <c r="CJ7" s="49" t="str">
        <f t="shared" si="0"/>
        <v/>
      </c>
      <c r="CK7" s="49" t="str">
        <f t="shared" si="0"/>
        <v/>
      </c>
      <c r="CL7" s="49" t="str">
        <f t="shared" si="0"/>
        <v/>
      </c>
      <c r="CM7" s="49" t="str">
        <f t="shared" si="0"/>
        <v/>
      </c>
      <c r="CN7" s="49" t="str">
        <f t="shared" si="0"/>
        <v/>
      </c>
      <c r="CO7" s="49" t="str">
        <f t="shared" si="0"/>
        <v/>
      </c>
      <c r="CP7" s="49" t="str">
        <f t="shared" si="0"/>
        <v/>
      </c>
      <c r="CQ7" s="49" t="str">
        <f t="shared" si="0"/>
        <v/>
      </c>
      <c r="CR7" s="49" t="str">
        <f t="shared" si="0"/>
        <v/>
      </c>
      <c r="CS7" s="49" t="str">
        <f t="shared" si="0"/>
        <v/>
      </c>
      <c r="CT7" s="49" t="str">
        <f t="shared" si="0"/>
        <v/>
      </c>
      <c r="CU7" s="49" t="str">
        <f t="shared" si="0"/>
        <v/>
      </c>
      <c r="CV7" s="49" t="str">
        <f t="shared" si="0"/>
        <v/>
      </c>
      <c r="CW7" s="49" t="str">
        <f t="shared" si="0"/>
        <v/>
      </c>
      <c r="CX7" s="49" t="str">
        <f t="shared" si="0"/>
        <v/>
      </c>
      <c r="CY7" s="49" t="str">
        <f t="shared" si="0"/>
        <v/>
      </c>
      <c r="CZ7" s="49" t="str">
        <f t="shared" si="0"/>
        <v/>
      </c>
      <c r="DA7" s="49" t="str">
        <f t="shared" si="0"/>
        <v/>
      </c>
      <c r="DB7" s="49" t="str">
        <f t="shared" si="0"/>
        <v/>
      </c>
      <c r="DC7" s="49" t="str">
        <f t="shared" si="0"/>
        <v/>
      </c>
      <c r="DD7" s="49" t="str">
        <f t="shared" si="0"/>
        <v/>
      </c>
      <c r="DE7" s="49" t="str">
        <f t="shared" si="0"/>
        <v/>
      </c>
      <c r="DF7" s="49" t="str">
        <f t="shared" si="0"/>
        <v>6월</v>
      </c>
      <c r="DG7" s="49" t="str">
        <f t="shared" si="0"/>
        <v/>
      </c>
      <c r="DH7" s="49" t="str">
        <f t="shared" si="0"/>
        <v/>
      </c>
      <c r="DI7" s="49" t="str">
        <f t="shared" si="0"/>
        <v/>
      </c>
      <c r="DJ7" s="49" t="str">
        <f t="shared" si="0"/>
        <v/>
      </c>
      <c r="DK7" s="49" t="str">
        <f t="shared" si="0"/>
        <v/>
      </c>
      <c r="DL7" s="49" t="str">
        <f t="shared" si="0"/>
        <v/>
      </c>
      <c r="DM7" s="49" t="str">
        <f t="shared" si="0"/>
        <v/>
      </c>
      <c r="DN7" s="49" t="str">
        <f t="shared" si="0"/>
        <v/>
      </c>
      <c r="DO7" s="49" t="str">
        <f t="shared" si="0"/>
        <v/>
      </c>
      <c r="DP7" s="49" t="str">
        <f t="shared" si="0"/>
        <v/>
      </c>
      <c r="DQ7" s="49" t="str">
        <f t="shared" si="0"/>
        <v/>
      </c>
      <c r="DR7" s="49" t="str">
        <f t="shared" si="0"/>
        <v/>
      </c>
      <c r="DS7" s="49" t="str">
        <f t="shared" si="0"/>
        <v/>
      </c>
      <c r="DT7" s="49" t="str">
        <f t="shared" si="0"/>
        <v/>
      </c>
      <c r="DU7" s="49" t="str">
        <f t="shared" si="0"/>
        <v/>
      </c>
      <c r="DV7" s="49" t="str">
        <f t="shared" si="0"/>
        <v/>
      </c>
      <c r="DW7" s="49" t="str">
        <f t="shared" si="0"/>
        <v/>
      </c>
      <c r="DX7" s="49" t="str">
        <f t="shared" si="0"/>
        <v/>
      </c>
      <c r="DY7" s="49" t="str">
        <f t="shared" si="0"/>
        <v/>
      </c>
      <c r="DZ7" s="49" t="str">
        <f t="shared" si="0"/>
        <v/>
      </c>
      <c r="EA7" s="49" t="str">
        <f t="shared" si="0"/>
        <v/>
      </c>
      <c r="EB7" s="49" t="str">
        <f t="shared" si="0"/>
        <v/>
      </c>
      <c r="EC7" s="49" t="str">
        <f t="shared" si="0"/>
        <v/>
      </c>
      <c r="ED7" s="49" t="str">
        <f t="shared" si="0"/>
        <v/>
      </c>
      <c r="EE7" s="49" t="str">
        <f t="shared" si="0"/>
        <v/>
      </c>
      <c r="EF7" s="49" t="str">
        <f t="shared" si="0"/>
        <v/>
      </c>
      <c r="EG7" s="49" t="str">
        <f t="shared" si="0"/>
        <v/>
      </c>
      <c r="EH7" s="49" t="str">
        <f t="shared" si="0"/>
        <v/>
      </c>
    </row>
    <row r="8" spans="2:138" ht="18" customHeight="1">
      <c r="S8" s="47">
        <f>S9</f>
        <v>46083</v>
      </c>
      <c r="T8" s="47">
        <f t="shared" ref="T8:EH9" si="1">S8+$I$6</f>
        <v>46084</v>
      </c>
      <c r="U8" s="47">
        <f t="shared" si="1"/>
        <v>46085</v>
      </c>
      <c r="V8" s="47">
        <f t="shared" si="1"/>
        <v>46086</v>
      </c>
      <c r="W8" s="47">
        <f t="shared" si="1"/>
        <v>46087</v>
      </c>
      <c r="X8" s="47">
        <f t="shared" si="1"/>
        <v>46088</v>
      </c>
      <c r="Y8" s="47">
        <f t="shared" si="1"/>
        <v>46089</v>
      </c>
      <c r="Z8" s="47">
        <f t="shared" si="1"/>
        <v>46090</v>
      </c>
      <c r="AA8" s="47">
        <f t="shared" si="1"/>
        <v>46091</v>
      </c>
      <c r="AB8" s="47">
        <f t="shared" si="1"/>
        <v>46092</v>
      </c>
      <c r="AC8" s="47">
        <f t="shared" si="1"/>
        <v>46093</v>
      </c>
      <c r="AD8" s="47">
        <f t="shared" si="1"/>
        <v>46094</v>
      </c>
      <c r="AE8" s="47">
        <f t="shared" si="1"/>
        <v>46095</v>
      </c>
      <c r="AF8" s="47">
        <f t="shared" si="1"/>
        <v>46096</v>
      </c>
      <c r="AG8" s="47">
        <f t="shared" si="1"/>
        <v>46097</v>
      </c>
      <c r="AH8" s="47">
        <f t="shared" si="1"/>
        <v>46098</v>
      </c>
      <c r="AI8" s="47">
        <f t="shared" si="1"/>
        <v>46099</v>
      </c>
      <c r="AJ8" s="47">
        <f t="shared" si="1"/>
        <v>46100</v>
      </c>
      <c r="AK8" s="47">
        <f t="shared" si="1"/>
        <v>46101</v>
      </c>
      <c r="AL8" s="47">
        <f t="shared" si="1"/>
        <v>46102</v>
      </c>
      <c r="AM8" s="47">
        <f t="shared" si="1"/>
        <v>46103</v>
      </c>
      <c r="AN8" s="47">
        <f t="shared" si="1"/>
        <v>46104</v>
      </c>
      <c r="AO8" s="47">
        <f t="shared" si="1"/>
        <v>46105</v>
      </c>
      <c r="AP8" s="47">
        <f t="shared" si="1"/>
        <v>46106</v>
      </c>
      <c r="AQ8" s="47">
        <f t="shared" si="1"/>
        <v>46107</v>
      </c>
      <c r="AR8" s="47">
        <f t="shared" si="1"/>
        <v>46108</v>
      </c>
      <c r="AS8" s="47">
        <f t="shared" si="1"/>
        <v>46109</v>
      </c>
      <c r="AT8" s="47">
        <f t="shared" si="1"/>
        <v>46110</v>
      </c>
      <c r="AU8" s="47">
        <f t="shared" si="1"/>
        <v>46111</v>
      </c>
      <c r="AV8" s="47">
        <f t="shared" si="1"/>
        <v>46112</v>
      </c>
      <c r="AW8" s="47">
        <f t="shared" si="1"/>
        <v>46113</v>
      </c>
      <c r="AX8" s="47">
        <f t="shared" si="1"/>
        <v>46114</v>
      </c>
      <c r="AY8" s="47">
        <f t="shared" si="1"/>
        <v>46115</v>
      </c>
      <c r="AZ8" s="47">
        <f t="shared" si="1"/>
        <v>46116</v>
      </c>
      <c r="BA8" s="47">
        <f t="shared" si="1"/>
        <v>46117</v>
      </c>
      <c r="BB8" s="47">
        <f t="shared" si="1"/>
        <v>46118</v>
      </c>
      <c r="BC8" s="47">
        <f t="shared" si="1"/>
        <v>46119</v>
      </c>
      <c r="BD8" s="47">
        <f t="shared" si="1"/>
        <v>46120</v>
      </c>
      <c r="BE8" s="47">
        <f t="shared" si="1"/>
        <v>46121</v>
      </c>
      <c r="BF8" s="47">
        <f t="shared" si="1"/>
        <v>46122</v>
      </c>
      <c r="BG8" s="47">
        <f t="shared" si="1"/>
        <v>46123</v>
      </c>
      <c r="BH8" s="47">
        <f t="shared" si="1"/>
        <v>46124</v>
      </c>
      <c r="BI8" s="47">
        <f t="shared" si="1"/>
        <v>46125</v>
      </c>
      <c r="BJ8" s="47">
        <f t="shared" si="1"/>
        <v>46126</v>
      </c>
      <c r="BK8" s="47">
        <f t="shared" si="1"/>
        <v>46127</v>
      </c>
      <c r="BL8" s="47">
        <f t="shared" si="1"/>
        <v>46128</v>
      </c>
      <c r="BM8" s="47">
        <f t="shared" si="1"/>
        <v>46129</v>
      </c>
      <c r="BN8" s="47">
        <f t="shared" si="1"/>
        <v>46130</v>
      </c>
      <c r="BO8" s="47">
        <f t="shared" si="1"/>
        <v>46131</v>
      </c>
      <c r="BP8" s="47">
        <f t="shared" si="1"/>
        <v>46132</v>
      </c>
      <c r="BQ8" s="47">
        <f t="shared" si="1"/>
        <v>46133</v>
      </c>
      <c r="BR8" s="47">
        <f t="shared" si="1"/>
        <v>46134</v>
      </c>
      <c r="BS8" s="47">
        <f t="shared" si="1"/>
        <v>46135</v>
      </c>
      <c r="BT8" s="47">
        <f t="shared" si="1"/>
        <v>46136</v>
      </c>
      <c r="BU8" s="47">
        <f t="shared" si="1"/>
        <v>46137</v>
      </c>
      <c r="BV8" s="47">
        <f t="shared" si="1"/>
        <v>46138</v>
      </c>
      <c r="BW8" s="47">
        <f t="shared" si="1"/>
        <v>46139</v>
      </c>
      <c r="BX8" s="47">
        <f t="shared" si="1"/>
        <v>46140</v>
      </c>
      <c r="BY8" s="47">
        <f t="shared" si="1"/>
        <v>46141</v>
      </c>
      <c r="BZ8" s="47">
        <f t="shared" si="1"/>
        <v>46142</v>
      </c>
      <c r="CA8" s="47">
        <f t="shared" si="1"/>
        <v>46143</v>
      </c>
      <c r="CB8" s="47">
        <f t="shared" si="1"/>
        <v>46144</v>
      </c>
      <c r="CC8" s="47">
        <f t="shared" si="1"/>
        <v>46145</v>
      </c>
      <c r="CD8" s="47">
        <f t="shared" si="1"/>
        <v>46146</v>
      </c>
      <c r="CE8" s="47">
        <f t="shared" si="1"/>
        <v>46147</v>
      </c>
      <c r="CF8" s="47">
        <f t="shared" si="1"/>
        <v>46148</v>
      </c>
      <c r="CG8" s="47">
        <f t="shared" si="1"/>
        <v>46149</v>
      </c>
      <c r="CH8" s="47">
        <f t="shared" si="1"/>
        <v>46150</v>
      </c>
      <c r="CI8" s="47">
        <f t="shared" si="1"/>
        <v>46151</v>
      </c>
      <c r="CJ8" s="47">
        <f t="shared" si="1"/>
        <v>46152</v>
      </c>
      <c r="CK8" s="47">
        <f t="shared" si="1"/>
        <v>46153</v>
      </c>
      <c r="CL8" s="47">
        <f t="shared" si="1"/>
        <v>46154</v>
      </c>
      <c r="CM8" s="47">
        <f t="shared" si="1"/>
        <v>46155</v>
      </c>
      <c r="CN8" s="47">
        <f t="shared" si="1"/>
        <v>46156</v>
      </c>
      <c r="CO8" s="47">
        <f t="shared" si="1"/>
        <v>46157</v>
      </c>
      <c r="CP8" s="47">
        <f t="shared" si="1"/>
        <v>46158</v>
      </c>
      <c r="CQ8" s="47">
        <f t="shared" si="1"/>
        <v>46159</v>
      </c>
      <c r="CR8" s="47">
        <f t="shared" si="1"/>
        <v>46160</v>
      </c>
      <c r="CS8" s="47">
        <f t="shared" si="1"/>
        <v>46161</v>
      </c>
      <c r="CT8" s="47">
        <f t="shared" si="1"/>
        <v>46162</v>
      </c>
      <c r="CU8" s="47">
        <f t="shared" si="1"/>
        <v>46163</v>
      </c>
      <c r="CV8" s="47">
        <f t="shared" si="1"/>
        <v>46164</v>
      </c>
      <c r="CW8" s="47">
        <f t="shared" si="1"/>
        <v>46165</v>
      </c>
      <c r="CX8" s="47">
        <f t="shared" si="1"/>
        <v>46166</v>
      </c>
      <c r="CY8" s="47">
        <f t="shared" si="1"/>
        <v>46167</v>
      </c>
      <c r="CZ8" s="47">
        <f t="shared" si="1"/>
        <v>46168</v>
      </c>
      <c r="DA8" s="47">
        <f t="shared" si="1"/>
        <v>46169</v>
      </c>
      <c r="DB8" s="47">
        <f t="shared" si="1"/>
        <v>46170</v>
      </c>
      <c r="DC8" s="47">
        <f t="shared" si="1"/>
        <v>46171</v>
      </c>
      <c r="DD8" s="47">
        <f t="shared" si="1"/>
        <v>46172</v>
      </c>
      <c r="DE8" s="47">
        <f t="shared" si="1"/>
        <v>46173</v>
      </c>
      <c r="DF8" s="47">
        <f t="shared" si="1"/>
        <v>46174</v>
      </c>
      <c r="DG8" s="47">
        <f t="shared" si="1"/>
        <v>46175</v>
      </c>
      <c r="DH8" s="47">
        <f t="shared" si="1"/>
        <v>46176</v>
      </c>
      <c r="DI8" s="47">
        <f t="shared" si="1"/>
        <v>46177</v>
      </c>
      <c r="DJ8" s="47">
        <f t="shared" si="1"/>
        <v>46178</v>
      </c>
      <c r="DK8" s="47">
        <f t="shared" si="1"/>
        <v>46179</v>
      </c>
      <c r="DL8" s="47">
        <f t="shared" si="1"/>
        <v>46180</v>
      </c>
      <c r="DM8" s="47">
        <f t="shared" si="1"/>
        <v>46181</v>
      </c>
      <c r="DN8" s="47">
        <f t="shared" si="1"/>
        <v>46182</v>
      </c>
      <c r="DO8" s="47">
        <f t="shared" si="1"/>
        <v>46183</v>
      </c>
      <c r="DP8" s="47">
        <f t="shared" si="1"/>
        <v>46184</v>
      </c>
      <c r="DQ8" s="47">
        <f t="shared" si="1"/>
        <v>46185</v>
      </c>
      <c r="DR8" s="47">
        <f t="shared" si="1"/>
        <v>46186</v>
      </c>
      <c r="DS8" s="47">
        <f t="shared" si="1"/>
        <v>46187</v>
      </c>
      <c r="DT8" s="47">
        <f t="shared" si="1"/>
        <v>46188</v>
      </c>
      <c r="DU8" s="47">
        <f t="shared" si="1"/>
        <v>46189</v>
      </c>
      <c r="DV8" s="47">
        <f t="shared" si="1"/>
        <v>46190</v>
      </c>
      <c r="DW8" s="47">
        <f t="shared" si="1"/>
        <v>46191</v>
      </c>
      <c r="DX8" s="47">
        <f t="shared" si="1"/>
        <v>46192</v>
      </c>
      <c r="DY8" s="47">
        <f t="shared" si="1"/>
        <v>46193</v>
      </c>
      <c r="DZ8" s="47">
        <f t="shared" si="1"/>
        <v>46194</v>
      </c>
      <c r="EA8" s="47">
        <f t="shared" si="1"/>
        <v>46195</v>
      </c>
      <c r="EB8" s="47">
        <f t="shared" si="1"/>
        <v>46196</v>
      </c>
      <c r="EC8" s="47">
        <f t="shared" si="1"/>
        <v>46197</v>
      </c>
      <c r="ED8" s="47">
        <f t="shared" si="1"/>
        <v>46198</v>
      </c>
      <c r="EE8" s="47">
        <f t="shared" si="1"/>
        <v>46199</v>
      </c>
      <c r="EF8" s="47">
        <f t="shared" si="1"/>
        <v>46200</v>
      </c>
      <c r="EG8" s="47">
        <f t="shared" si="1"/>
        <v>46201</v>
      </c>
      <c r="EH8" s="47">
        <f t="shared" si="1"/>
        <v>46202</v>
      </c>
    </row>
    <row r="9" spans="2:138" s="9" customFormat="1" ht="23.1" customHeight="1">
      <c r="B9" s="22" t="s">
        <v>28</v>
      </c>
      <c r="C9" s="192" t="s">
        <v>1</v>
      </c>
      <c r="D9" s="192"/>
      <c r="E9" s="22" t="s">
        <v>29</v>
      </c>
      <c r="F9" s="22" t="s">
        <v>3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3" t="s">
        <v>40</v>
      </c>
      <c r="R9" s="10" t="s">
        <v>41</v>
      </c>
      <c r="S9" s="32">
        <f>$G$6-WEEKDAY($G$6,1)+INDEX({1;2;3;4;5;6;7},MATCH($D$6,{"일요일";"월요일";"화요일";"수요일";"목요일";"금요일";"토요일"},0))</f>
        <v>46083</v>
      </c>
      <c r="T9" s="32">
        <f t="shared" si="1"/>
        <v>46084</v>
      </c>
      <c r="U9" s="32">
        <f t="shared" si="1"/>
        <v>46085</v>
      </c>
      <c r="V9" s="32">
        <f t="shared" si="1"/>
        <v>46086</v>
      </c>
      <c r="W9" s="32">
        <f t="shared" si="1"/>
        <v>46087</v>
      </c>
      <c r="X9" s="32">
        <f t="shared" si="1"/>
        <v>46088</v>
      </c>
      <c r="Y9" s="32">
        <f t="shared" si="1"/>
        <v>46089</v>
      </c>
      <c r="Z9" s="32">
        <f t="shared" si="1"/>
        <v>46090</v>
      </c>
      <c r="AA9" s="32">
        <f t="shared" si="1"/>
        <v>46091</v>
      </c>
      <c r="AB9" s="32">
        <f t="shared" si="1"/>
        <v>46092</v>
      </c>
      <c r="AC9" s="32">
        <f t="shared" si="1"/>
        <v>46093</v>
      </c>
      <c r="AD9" s="32">
        <f t="shared" si="1"/>
        <v>46094</v>
      </c>
      <c r="AE9" s="32">
        <f t="shared" si="1"/>
        <v>46095</v>
      </c>
      <c r="AF9" s="32">
        <f t="shared" si="1"/>
        <v>46096</v>
      </c>
      <c r="AG9" s="32">
        <f t="shared" si="1"/>
        <v>46097</v>
      </c>
      <c r="AH9" s="32">
        <f t="shared" si="1"/>
        <v>46098</v>
      </c>
      <c r="AI9" s="32">
        <f t="shared" si="1"/>
        <v>46099</v>
      </c>
      <c r="AJ9" s="32">
        <f t="shared" si="1"/>
        <v>46100</v>
      </c>
      <c r="AK9" s="32">
        <f t="shared" si="1"/>
        <v>46101</v>
      </c>
      <c r="AL9" s="32">
        <f t="shared" si="1"/>
        <v>46102</v>
      </c>
      <c r="AM9" s="32">
        <f t="shared" si="1"/>
        <v>46103</v>
      </c>
      <c r="AN9" s="32">
        <f t="shared" si="1"/>
        <v>46104</v>
      </c>
      <c r="AO9" s="32">
        <f t="shared" si="1"/>
        <v>46105</v>
      </c>
      <c r="AP9" s="32">
        <f t="shared" si="1"/>
        <v>46106</v>
      </c>
      <c r="AQ9" s="32">
        <f t="shared" si="1"/>
        <v>46107</v>
      </c>
      <c r="AR9" s="32">
        <f t="shared" si="1"/>
        <v>46108</v>
      </c>
      <c r="AS9" s="32">
        <f t="shared" si="1"/>
        <v>46109</v>
      </c>
      <c r="AT9" s="32">
        <f t="shared" si="1"/>
        <v>46110</v>
      </c>
      <c r="AU9" s="32">
        <f t="shared" si="1"/>
        <v>46111</v>
      </c>
      <c r="AV9" s="32">
        <f t="shared" si="1"/>
        <v>46112</v>
      </c>
      <c r="AW9" s="32">
        <f t="shared" si="1"/>
        <v>46113</v>
      </c>
      <c r="AX9" s="32">
        <f t="shared" si="1"/>
        <v>46114</v>
      </c>
      <c r="AY9" s="32">
        <f t="shared" si="1"/>
        <v>46115</v>
      </c>
      <c r="AZ9" s="32">
        <f t="shared" si="1"/>
        <v>46116</v>
      </c>
      <c r="BA9" s="32">
        <f t="shared" si="1"/>
        <v>46117</v>
      </c>
      <c r="BB9" s="32">
        <f t="shared" si="1"/>
        <v>46118</v>
      </c>
      <c r="BC9" s="32">
        <f t="shared" si="1"/>
        <v>46119</v>
      </c>
      <c r="BD9" s="32">
        <f t="shared" si="1"/>
        <v>46120</v>
      </c>
      <c r="BE9" s="32">
        <f t="shared" si="1"/>
        <v>46121</v>
      </c>
      <c r="BF9" s="32">
        <f t="shared" si="1"/>
        <v>46122</v>
      </c>
      <c r="BG9" s="32">
        <f t="shared" si="1"/>
        <v>46123</v>
      </c>
      <c r="BH9" s="32">
        <f t="shared" si="1"/>
        <v>46124</v>
      </c>
      <c r="BI9" s="32">
        <f t="shared" si="1"/>
        <v>46125</v>
      </c>
      <c r="BJ9" s="32">
        <f t="shared" si="1"/>
        <v>46126</v>
      </c>
      <c r="BK9" s="32">
        <f t="shared" si="1"/>
        <v>46127</v>
      </c>
      <c r="BL9" s="32">
        <f t="shared" si="1"/>
        <v>46128</v>
      </c>
      <c r="BM9" s="32">
        <f t="shared" si="1"/>
        <v>46129</v>
      </c>
      <c r="BN9" s="32">
        <f t="shared" si="1"/>
        <v>46130</v>
      </c>
      <c r="BO9" s="32">
        <f t="shared" si="1"/>
        <v>46131</v>
      </c>
      <c r="BP9" s="32">
        <f t="shared" si="1"/>
        <v>46132</v>
      </c>
      <c r="BQ9" s="32">
        <f t="shared" si="1"/>
        <v>46133</v>
      </c>
      <c r="BR9" s="32">
        <f t="shared" si="1"/>
        <v>46134</v>
      </c>
      <c r="BS9" s="32">
        <f t="shared" si="1"/>
        <v>46135</v>
      </c>
      <c r="BT9" s="32">
        <f t="shared" si="1"/>
        <v>46136</v>
      </c>
      <c r="BU9" s="32">
        <f t="shared" si="1"/>
        <v>46137</v>
      </c>
      <c r="BV9" s="32">
        <f t="shared" si="1"/>
        <v>46138</v>
      </c>
      <c r="BW9" s="32">
        <f t="shared" si="1"/>
        <v>46139</v>
      </c>
      <c r="BX9" s="32">
        <f t="shared" si="1"/>
        <v>46140</v>
      </c>
      <c r="BY9" s="32">
        <f t="shared" si="1"/>
        <v>46141</v>
      </c>
      <c r="BZ9" s="32">
        <f t="shared" si="1"/>
        <v>46142</v>
      </c>
      <c r="CA9" s="32">
        <f t="shared" si="1"/>
        <v>46143</v>
      </c>
      <c r="CB9" s="32">
        <f t="shared" si="1"/>
        <v>46144</v>
      </c>
      <c r="CC9" s="32">
        <f t="shared" si="1"/>
        <v>46145</v>
      </c>
      <c r="CD9" s="32">
        <f t="shared" si="1"/>
        <v>46146</v>
      </c>
      <c r="CE9" s="32">
        <f t="shared" si="1"/>
        <v>46147</v>
      </c>
      <c r="CF9" s="32">
        <f t="shared" si="1"/>
        <v>46148</v>
      </c>
      <c r="CG9" s="32">
        <f t="shared" si="1"/>
        <v>46149</v>
      </c>
      <c r="CH9" s="32">
        <f t="shared" si="1"/>
        <v>46150</v>
      </c>
      <c r="CI9" s="32">
        <f t="shared" si="1"/>
        <v>46151</v>
      </c>
      <c r="CJ9" s="32">
        <f t="shared" si="1"/>
        <v>46152</v>
      </c>
      <c r="CK9" s="32">
        <f t="shared" si="1"/>
        <v>46153</v>
      </c>
      <c r="CL9" s="32">
        <f t="shared" si="1"/>
        <v>46154</v>
      </c>
      <c r="CM9" s="32">
        <f t="shared" si="1"/>
        <v>46155</v>
      </c>
      <c r="CN9" s="32">
        <f t="shared" si="1"/>
        <v>46156</v>
      </c>
      <c r="CO9" s="32">
        <f t="shared" si="1"/>
        <v>46157</v>
      </c>
      <c r="CP9" s="32">
        <f t="shared" si="1"/>
        <v>46158</v>
      </c>
      <c r="CQ9" s="32">
        <f t="shared" si="1"/>
        <v>46159</v>
      </c>
      <c r="CR9" s="32">
        <f t="shared" si="1"/>
        <v>46160</v>
      </c>
      <c r="CS9" s="32">
        <f t="shared" si="1"/>
        <v>46161</v>
      </c>
      <c r="CT9" s="32">
        <f t="shared" si="1"/>
        <v>46162</v>
      </c>
      <c r="CU9" s="32">
        <f t="shared" si="1"/>
        <v>46163</v>
      </c>
      <c r="CV9" s="32">
        <f t="shared" si="1"/>
        <v>46164</v>
      </c>
      <c r="CW9" s="32">
        <f t="shared" si="1"/>
        <v>46165</v>
      </c>
      <c r="CX9" s="32">
        <f t="shared" si="1"/>
        <v>46166</v>
      </c>
      <c r="CY9" s="32">
        <f t="shared" si="1"/>
        <v>46167</v>
      </c>
      <c r="CZ9" s="32">
        <f t="shared" si="1"/>
        <v>46168</v>
      </c>
      <c r="DA9" s="32">
        <f t="shared" si="1"/>
        <v>46169</v>
      </c>
      <c r="DB9" s="32">
        <f t="shared" si="1"/>
        <v>46170</v>
      </c>
      <c r="DC9" s="32">
        <f t="shared" si="1"/>
        <v>46171</v>
      </c>
      <c r="DD9" s="32">
        <f t="shared" si="1"/>
        <v>46172</v>
      </c>
      <c r="DE9" s="32">
        <f t="shared" si="1"/>
        <v>46173</v>
      </c>
      <c r="DF9" s="32">
        <f t="shared" si="1"/>
        <v>46174</v>
      </c>
      <c r="DG9" s="32">
        <f t="shared" si="1"/>
        <v>46175</v>
      </c>
      <c r="DH9" s="32">
        <f t="shared" si="1"/>
        <v>46176</v>
      </c>
      <c r="DI9" s="32">
        <f t="shared" si="1"/>
        <v>46177</v>
      </c>
      <c r="DJ9" s="32">
        <f t="shared" si="1"/>
        <v>46178</v>
      </c>
      <c r="DK9" s="32">
        <f t="shared" si="1"/>
        <v>46179</v>
      </c>
      <c r="DL9" s="32">
        <f t="shared" si="1"/>
        <v>46180</v>
      </c>
      <c r="DM9" s="32">
        <f t="shared" si="1"/>
        <v>46181</v>
      </c>
      <c r="DN9" s="32">
        <f t="shared" si="1"/>
        <v>46182</v>
      </c>
      <c r="DO9" s="32">
        <f t="shared" si="1"/>
        <v>46183</v>
      </c>
      <c r="DP9" s="32">
        <f t="shared" si="1"/>
        <v>46184</v>
      </c>
      <c r="DQ9" s="32">
        <f t="shared" si="1"/>
        <v>46185</v>
      </c>
      <c r="DR9" s="32">
        <f t="shared" si="1"/>
        <v>46186</v>
      </c>
      <c r="DS9" s="32">
        <f t="shared" si="1"/>
        <v>46187</v>
      </c>
      <c r="DT9" s="32">
        <f t="shared" si="1"/>
        <v>46188</v>
      </c>
      <c r="DU9" s="32">
        <f t="shared" si="1"/>
        <v>46189</v>
      </c>
      <c r="DV9" s="32">
        <f t="shared" si="1"/>
        <v>46190</v>
      </c>
      <c r="DW9" s="32">
        <f t="shared" si="1"/>
        <v>46191</v>
      </c>
      <c r="DX9" s="32">
        <f t="shared" si="1"/>
        <v>46192</v>
      </c>
      <c r="DY9" s="32">
        <f t="shared" si="1"/>
        <v>46193</v>
      </c>
      <c r="DZ9" s="32">
        <f t="shared" si="1"/>
        <v>46194</v>
      </c>
      <c r="EA9" s="32">
        <f t="shared" si="1"/>
        <v>46195</v>
      </c>
      <c r="EB9" s="32">
        <f t="shared" si="1"/>
        <v>46196</v>
      </c>
      <c r="EC9" s="32">
        <f t="shared" si="1"/>
        <v>46197</v>
      </c>
      <c r="ED9" s="32">
        <f t="shared" si="1"/>
        <v>46198</v>
      </c>
      <c r="EE9" s="32">
        <f t="shared" si="1"/>
        <v>46199</v>
      </c>
      <c r="EF9" s="32">
        <f t="shared" si="1"/>
        <v>46200</v>
      </c>
      <c r="EG9" s="32">
        <f t="shared" si="1"/>
        <v>46201</v>
      </c>
      <c r="EH9" s="32">
        <f t="shared" si="1"/>
        <v>46202</v>
      </c>
    </row>
    <row r="10" spans="2:138" s="11" customFormat="1" ht="24.95" customHeight="1">
      <c r="B10" s="43">
        <v>1</v>
      </c>
      <c r="C10" s="65" t="s">
        <v>9</v>
      </c>
      <c r="D10" s="65"/>
      <c r="E10" s="87" t="s">
        <v>42</v>
      </c>
      <c r="F10" s="33">
        <f>MIN(F11:F17)</f>
        <v>0</v>
      </c>
      <c r="G10" s="33">
        <f>MAX(G11:G17)</f>
        <v>0</v>
      </c>
      <c r="H10" s="35" t="str">
        <f>IF(F10=0,"",G10-F10+1)</f>
        <v/>
      </c>
      <c r="I10" s="59" t="str">
        <f>IFERROR(SUMPRODUCT(H11:H17,I11:I17)/SUM(H11:H17),"")</f>
        <v/>
      </c>
      <c r="J10" s="33">
        <f>IF(MAX(J11:J17)="","",MAX(J11:J17))</f>
        <v>0</v>
      </c>
      <c r="K10" s="24">
        <f>J10-F10+1</f>
        <v>1</v>
      </c>
      <c r="L10" s="33"/>
      <c r="M10" s="35">
        <f>NETWORKDAYS(F10,G10)</f>
        <v>0</v>
      </c>
      <c r="N10" s="35">
        <f>NETWORKDAYS(F10,J10)</f>
        <v>0</v>
      </c>
      <c r="O10" s="35" t="str">
        <f>IFERROR(ROUNDDOWN(I10*H10,0),"")</f>
        <v/>
      </c>
      <c r="P10" s="35" t="str">
        <f>IFERROR(ROUNDDOWN(I10*K10,0),"")</f>
        <v/>
      </c>
      <c r="Q10" s="40" t="str">
        <f>IFERROR(H10-O10,"")</f>
        <v/>
      </c>
      <c r="R10" s="12" t="e">
        <f>K10-P10</f>
        <v>#VALUE!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2:138" s="11" customFormat="1" ht="22.35" customHeight="1">
      <c r="B11" s="45">
        <v>1.1000000000000001</v>
      </c>
      <c r="C11" s="63" t="s">
        <v>43</v>
      </c>
      <c r="D11" s="66"/>
      <c r="E11" s="25"/>
      <c r="F11" s="51"/>
      <c r="G11" s="51"/>
      <c r="H11" s="36" t="str">
        <f t="shared" ref="H11:H17" si="2">IF(F11="","",G11-F11+1)</f>
        <v/>
      </c>
      <c r="I11" s="58">
        <v>0</v>
      </c>
      <c r="J11" s="86">
        <f>G11</f>
        <v>0</v>
      </c>
      <c r="K11" s="37" t="str">
        <f t="shared" ref="K11:K17" si="3">IF(F11="","",J11-F11+1)</f>
        <v/>
      </c>
      <c r="L11" s="69" t="str">
        <f>IF(J11&gt;G11,J11-G11,"")</f>
        <v/>
      </c>
      <c r="M11" s="39">
        <f>NETWORKDAYS(F11,G11)</f>
        <v>0</v>
      </c>
      <c r="N11" s="39">
        <f>NETWORKDAYS(F11,J11)</f>
        <v>0</v>
      </c>
      <c r="O11" s="41" t="str">
        <f>IFERROR(ROUNDDOWN(I11*H11,0),"")</f>
        <v/>
      </c>
      <c r="P11" s="39" t="str">
        <f>IFERROR(ROUNDDOWN(I11*K11,0),"")</f>
        <v/>
      </c>
      <c r="Q11" s="52" t="str">
        <f>IFERROR(K11-P11,"")</f>
        <v/>
      </c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</row>
    <row r="12" spans="2:138" s="11" customFormat="1" ht="22.35" customHeight="1">
      <c r="B12" s="46">
        <v>1.2</v>
      </c>
      <c r="C12" s="62" t="s">
        <v>44</v>
      </c>
      <c r="D12" s="64"/>
      <c r="E12" s="25"/>
      <c r="F12" s="51"/>
      <c r="G12" s="51"/>
      <c r="H12" s="37" t="str">
        <f t="shared" si="2"/>
        <v/>
      </c>
      <c r="I12" s="58">
        <v>0</v>
      </c>
      <c r="J12" s="86">
        <f t="shared" ref="J12:J17" si="4">G12</f>
        <v>0</v>
      </c>
      <c r="K12" s="37" t="str">
        <f t="shared" si="3"/>
        <v/>
      </c>
      <c r="L12" s="69" t="str">
        <f t="shared" ref="L12:L32" si="5">IF(J12&gt;G12,J12-G12,"")</f>
        <v/>
      </c>
      <c r="M12" s="39">
        <f>NETWORKDAYS(F12,G12)</f>
        <v>0</v>
      </c>
      <c r="N12" s="39">
        <f>NETWORKDAYS(F12,J12)</f>
        <v>0</v>
      </c>
      <c r="O12" s="41" t="str">
        <f>IFERROR(ROUNDDOWN(I12*H12,0),"")</f>
        <v/>
      </c>
      <c r="P12" s="39" t="str">
        <f>IFERROR(ROUNDDOWN(I12*K12,0),"")</f>
        <v/>
      </c>
      <c r="Q12" s="52" t="str">
        <f>IFERROR(K12-P12,"")</f>
        <v/>
      </c>
      <c r="R12" s="16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</row>
    <row r="13" spans="2:138" s="11" customFormat="1" ht="22.35" customHeight="1">
      <c r="B13" s="45">
        <v>1.3000000000000009</v>
      </c>
      <c r="C13" s="62" t="s">
        <v>45</v>
      </c>
      <c r="D13" s="64"/>
      <c r="E13" s="25"/>
      <c r="F13" s="51"/>
      <c r="G13" s="51"/>
      <c r="H13" s="37" t="str">
        <f t="shared" si="2"/>
        <v/>
      </c>
      <c r="I13" s="58">
        <v>0</v>
      </c>
      <c r="J13" s="86">
        <f t="shared" si="4"/>
        <v>0</v>
      </c>
      <c r="K13" s="37" t="str">
        <f t="shared" si="3"/>
        <v/>
      </c>
      <c r="L13" s="69" t="str">
        <f t="shared" si="5"/>
        <v/>
      </c>
      <c r="M13" s="39">
        <f t="shared" ref="M13:M17" si="6">NETWORKDAYS(F13,G13)</f>
        <v>0</v>
      </c>
      <c r="N13" s="39">
        <f t="shared" ref="N13:N17" si="7">NETWORKDAYS(F13,J13)</f>
        <v>0</v>
      </c>
      <c r="O13" s="41" t="str">
        <f t="shared" ref="O13:O17" si="8">IFERROR(ROUNDDOWN(I13*H13,0),"")</f>
        <v/>
      </c>
      <c r="P13" s="39" t="str">
        <f t="shared" ref="P13:P17" si="9">IFERROR(ROUNDDOWN(I13*K13,0),"")</f>
        <v/>
      </c>
      <c r="Q13" s="52" t="str">
        <f t="shared" ref="Q13:Q17" si="10">IFERROR(K13-P13,"")</f>
        <v/>
      </c>
      <c r="R13" s="1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</row>
    <row r="14" spans="2:138" s="11" customFormat="1" ht="22.35" customHeight="1">
      <c r="B14" s="46">
        <v>1.4000000000000017</v>
      </c>
      <c r="C14" s="62" t="s">
        <v>72</v>
      </c>
      <c r="D14" s="64"/>
      <c r="E14" s="25"/>
      <c r="F14" s="51"/>
      <c r="G14" s="51"/>
      <c r="H14" s="37" t="str">
        <f t="shared" si="2"/>
        <v/>
      </c>
      <c r="I14" s="58">
        <v>0</v>
      </c>
      <c r="J14" s="86">
        <f t="shared" si="4"/>
        <v>0</v>
      </c>
      <c r="K14" s="37" t="str">
        <f t="shared" si="3"/>
        <v/>
      </c>
      <c r="L14" s="69" t="str">
        <f t="shared" si="5"/>
        <v/>
      </c>
      <c r="M14" s="39">
        <f t="shared" si="6"/>
        <v>0</v>
      </c>
      <c r="N14" s="39">
        <f t="shared" si="7"/>
        <v>0</v>
      </c>
      <c r="O14" s="41" t="str">
        <f t="shared" si="8"/>
        <v/>
      </c>
      <c r="P14" s="39" t="str">
        <f t="shared" si="9"/>
        <v/>
      </c>
      <c r="Q14" s="52" t="str">
        <f t="shared" si="10"/>
        <v/>
      </c>
      <c r="R14" s="16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</row>
    <row r="15" spans="2:138" s="11" customFormat="1" ht="22.35" customHeight="1">
      <c r="B15" s="45">
        <v>1.5000000000000027</v>
      </c>
      <c r="C15" s="62" t="s">
        <v>101</v>
      </c>
      <c r="D15" s="64"/>
      <c r="E15" s="25"/>
      <c r="F15" s="51"/>
      <c r="G15" s="51"/>
      <c r="H15" s="37" t="str">
        <f t="shared" si="2"/>
        <v/>
      </c>
      <c r="I15" s="58">
        <v>0</v>
      </c>
      <c r="J15" s="86">
        <f t="shared" si="4"/>
        <v>0</v>
      </c>
      <c r="K15" s="37" t="str">
        <f t="shared" si="3"/>
        <v/>
      </c>
      <c r="L15" s="69" t="str">
        <f t="shared" si="5"/>
        <v/>
      </c>
      <c r="M15" s="39">
        <f t="shared" si="6"/>
        <v>0</v>
      </c>
      <c r="N15" s="39">
        <f t="shared" si="7"/>
        <v>0</v>
      </c>
      <c r="O15" s="41" t="str">
        <f t="shared" si="8"/>
        <v/>
      </c>
      <c r="P15" s="39" t="str">
        <f t="shared" si="9"/>
        <v/>
      </c>
      <c r="Q15" s="52" t="str">
        <f t="shared" si="10"/>
        <v/>
      </c>
      <c r="R15" s="16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</row>
    <row r="16" spans="2:138" s="11" customFormat="1" ht="22.35" customHeight="1">
      <c r="B16" s="46">
        <v>1.6000000000000034</v>
      </c>
      <c r="C16" s="62" t="s">
        <v>47</v>
      </c>
      <c r="D16" s="64"/>
      <c r="E16" s="25"/>
      <c r="F16" s="51"/>
      <c r="G16" s="51"/>
      <c r="H16" s="37" t="str">
        <f t="shared" si="2"/>
        <v/>
      </c>
      <c r="I16" s="58">
        <v>0</v>
      </c>
      <c r="J16" s="86">
        <f t="shared" si="4"/>
        <v>0</v>
      </c>
      <c r="K16" s="37" t="str">
        <f t="shared" si="3"/>
        <v/>
      </c>
      <c r="L16" s="69" t="str">
        <f t="shared" si="5"/>
        <v/>
      </c>
      <c r="M16" s="39">
        <f t="shared" si="6"/>
        <v>0</v>
      </c>
      <c r="N16" s="39">
        <f t="shared" si="7"/>
        <v>0</v>
      </c>
      <c r="O16" s="41" t="str">
        <f t="shared" si="8"/>
        <v/>
      </c>
      <c r="P16" s="39" t="str">
        <f t="shared" si="9"/>
        <v/>
      </c>
      <c r="Q16" s="52" t="str">
        <f t="shared" si="10"/>
        <v/>
      </c>
      <c r="R16" s="16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</row>
    <row r="17" spans="2:138" s="11" customFormat="1" ht="22.35" customHeight="1">
      <c r="B17" s="45">
        <v>1.7000000000000042</v>
      </c>
      <c r="C17" s="79" t="s">
        <v>102</v>
      </c>
      <c r="D17" s="80"/>
      <c r="E17" s="81"/>
      <c r="F17" s="51"/>
      <c r="G17" s="73"/>
      <c r="H17" s="82" t="str">
        <f t="shared" si="2"/>
        <v/>
      </c>
      <c r="I17" s="75">
        <v>0</v>
      </c>
      <c r="J17" s="86">
        <f t="shared" si="4"/>
        <v>0</v>
      </c>
      <c r="K17" s="82" t="str">
        <f t="shared" si="3"/>
        <v/>
      </c>
      <c r="L17" s="76" t="str">
        <f t="shared" si="5"/>
        <v/>
      </c>
      <c r="M17" s="83">
        <f t="shared" si="6"/>
        <v>0</v>
      </c>
      <c r="N17" s="83">
        <f t="shared" si="7"/>
        <v>0</v>
      </c>
      <c r="O17" s="84" t="str">
        <f t="shared" si="8"/>
        <v/>
      </c>
      <c r="P17" s="83" t="str">
        <f t="shared" si="9"/>
        <v/>
      </c>
      <c r="Q17" s="85" t="str">
        <f t="shared" si="10"/>
        <v/>
      </c>
      <c r="R17" s="16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</row>
    <row r="18" spans="2:138" s="11" customFormat="1" ht="24.95" customHeight="1">
      <c r="B18" s="44">
        <v>2</v>
      </c>
      <c r="C18" s="67" t="s">
        <v>10</v>
      </c>
      <c r="D18" s="67"/>
      <c r="E18" s="88" t="s">
        <v>42</v>
      </c>
      <c r="F18" s="34">
        <f>MIN(F19:F25)</f>
        <v>0</v>
      </c>
      <c r="G18" s="34">
        <f>MAX(G19:G25)</f>
        <v>0</v>
      </c>
      <c r="H18" s="38" t="str">
        <f>IF(F18=0,"",G18-F18+1)</f>
        <v/>
      </c>
      <c r="I18" s="60" t="str">
        <f>IFERROR(SUMPRODUCT(H19:H25,I19:I25)/SUM(H19:H25),"")</f>
        <v/>
      </c>
      <c r="J18" s="34">
        <f>IF(MAX(J19:J25)="","",MAX(J19:J25))</f>
        <v>0</v>
      </c>
      <c r="K18" s="26">
        <f>J18-F18+1</f>
        <v>1</v>
      </c>
      <c r="L18" s="34"/>
      <c r="M18" s="38">
        <f>NETWORKDAYS(F18,G18)</f>
        <v>0</v>
      </c>
      <c r="N18" s="38">
        <f>NETWORKDAYS(F18,J18)</f>
        <v>0</v>
      </c>
      <c r="O18" s="38" t="str">
        <f>IFERROR(ROUNDDOWN(I18*H18,0),"")</f>
        <v/>
      </c>
      <c r="P18" s="38" t="str">
        <f>IFERROR(ROUNDDOWN(I18*K18,0),"")</f>
        <v/>
      </c>
      <c r="Q18" s="42" t="str">
        <f>IFERROR(H18-O18,"")</f>
        <v/>
      </c>
      <c r="R18" s="18" t="e">
        <f>K18-P18</f>
        <v>#VALUE!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</row>
    <row r="19" spans="2:138" s="11" customFormat="1" ht="22.35" customHeight="1">
      <c r="B19" s="45">
        <v>2.1</v>
      </c>
      <c r="C19" s="63" t="s">
        <v>103</v>
      </c>
      <c r="D19" s="66"/>
      <c r="E19" s="25"/>
      <c r="F19" s="51"/>
      <c r="G19" s="51"/>
      <c r="H19" s="36" t="str">
        <f t="shared" ref="H19:H25" si="11">IF(F19="","",G19-F19+1)</f>
        <v/>
      </c>
      <c r="I19" s="58">
        <v>0</v>
      </c>
      <c r="J19" s="86">
        <f>G19</f>
        <v>0</v>
      </c>
      <c r="K19" s="37" t="str">
        <f>IF(F19="","",J19-F19+1)</f>
        <v/>
      </c>
      <c r="L19" s="69" t="str">
        <f t="shared" si="5"/>
        <v/>
      </c>
      <c r="M19" s="39">
        <f t="shared" ref="M19:M25" si="12">NETWORKDAYS(F19,G19)</f>
        <v>0</v>
      </c>
      <c r="N19" s="39">
        <f t="shared" ref="N19:N25" si="13">NETWORKDAYS(F19,J19)</f>
        <v>0</v>
      </c>
      <c r="O19" s="41" t="str">
        <f t="shared" ref="O19:O25" si="14">IFERROR(ROUNDDOWN(I19*H19,0),"")</f>
        <v/>
      </c>
      <c r="P19" s="39" t="str">
        <f t="shared" ref="P19:P25" si="15">IFERROR(ROUNDDOWN(I19*K19,0),"")</f>
        <v/>
      </c>
      <c r="Q19" s="52" t="str">
        <f t="shared" ref="Q19:Q25" si="16">IFERROR(K19-P19,"")</f>
        <v/>
      </c>
      <c r="R19" s="1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</row>
    <row r="20" spans="2:138" s="11" customFormat="1" ht="22.35" customHeight="1">
      <c r="B20" s="46">
        <v>2.2000000000000002</v>
      </c>
      <c r="C20" s="70" t="s">
        <v>104</v>
      </c>
      <c r="D20" s="68"/>
      <c r="E20" s="25"/>
      <c r="F20" s="51"/>
      <c r="G20" s="51"/>
      <c r="H20" s="36" t="str">
        <f t="shared" si="11"/>
        <v/>
      </c>
      <c r="I20" s="58">
        <v>0</v>
      </c>
      <c r="J20" s="86">
        <f t="shared" ref="J20:J25" si="17">G20</f>
        <v>0</v>
      </c>
      <c r="K20" s="37" t="str">
        <f t="shared" ref="K20:K25" si="18">IF(F20="","",J20-F20+1)</f>
        <v/>
      </c>
      <c r="L20" s="69"/>
      <c r="M20" s="39"/>
      <c r="N20" s="39">
        <f t="shared" si="13"/>
        <v>0</v>
      </c>
      <c r="O20" s="41" t="str">
        <f t="shared" si="14"/>
        <v/>
      </c>
      <c r="P20" s="39" t="str">
        <f t="shared" si="15"/>
        <v/>
      </c>
      <c r="Q20" s="52" t="str">
        <f t="shared" si="16"/>
        <v/>
      </c>
      <c r="R20" s="16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</row>
    <row r="21" spans="2:138" s="11" customFormat="1" ht="22.35" customHeight="1">
      <c r="B21" s="45">
        <v>2.2999999999999998</v>
      </c>
      <c r="C21" s="70" t="s">
        <v>105</v>
      </c>
      <c r="D21" s="68"/>
      <c r="E21" s="25"/>
      <c r="F21" s="51"/>
      <c r="G21" s="51"/>
      <c r="H21" s="36" t="str">
        <f t="shared" si="11"/>
        <v/>
      </c>
      <c r="I21" s="58">
        <v>0</v>
      </c>
      <c r="J21" s="86">
        <f t="shared" si="17"/>
        <v>0</v>
      </c>
      <c r="K21" s="37" t="str">
        <f t="shared" si="18"/>
        <v/>
      </c>
      <c r="L21" s="69"/>
      <c r="M21" s="39"/>
      <c r="N21" s="39">
        <f t="shared" si="13"/>
        <v>0</v>
      </c>
      <c r="O21" s="41" t="str">
        <f t="shared" si="14"/>
        <v/>
      </c>
      <c r="P21" s="39" t="str">
        <f t="shared" si="15"/>
        <v/>
      </c>
      <c r="Q21" s="52" t="str">
        <f t="shared" si="16"/>
        <v/>
      </c>
      <c r="R21" s="16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</row>
    <row r="22" spans="2:138" s="11" customFormat="1" ht="22.35" customHeight="1">
      <c r="B22" s="46">
        <v>2.4</v>
      </c>
      <c r="C22" s="89" t="s">
        <v>106</v>
      </c>
      <c r="D22" s="64"/>
      <c r="E22" s="25"/>
      <c r="F22" s="51"/>
      <c r="G22" s="51"/>
      <c r="H22" s="37" t="str">
        <f t="shared" si="11"/>
        <v/>
      </c>
      <c r="I22" s="58">
        <v>0</v>
      </c>
      <c r="J22" s="86">
        <f t="shared" si="17"/>
        <v>0</v>
      </c>
      <c r="K22" s="37" t="str">
        <f t="shared" si="18"/>
        <v/>
      </c>
      <c r="L22" s="69" t="str">
        <f t="shared" si="5"/>
        <v/>
      </c>
      <c r="M22" s="39">
        <f t="shared" si="12"/>
        <v>0</v>
      </c>
      <c r="N22" s="39">
        <f t="shared" si="13"/>
        <v>0</v>
      </c>
      <c r="O22" s="41" t="str">
        <f t="shared" si="14"/>
        <v/>
      </c>
      <c r="P22" s="39" t="str">
        <f t="shared" si="15"/>
        <v/>
      </c>
      <c r="Q22" s="52" t="str">
        <f t="shared" si="16"/>
        <v/>
      </c>
      <c r="R22" s="16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</row>
    <row r="23" spans="2:138" s="11" customFormat="1" ht="22.35" customHeight="1">
      <c r="B23" s="45">
        <v>2.5</v>
      </c>
      <c r="C23" s="62" t="s">
        <v>79</v>
      </c>
      <c r="D23" s="64"/>
      <c r="E23" s="25"/>
      <c r="F23" s="51"/>
      <c r="G23" s="51"/>
      <c r="H23" s="37" t="str">
        <f t="shared" si="11"/>
        <v/>
      </c>
      <c r="I23" s="58">
        <v>0</v>
      </c>
      <c r="J23" s="86">
        <f t="shared" si="17"/>
        <v>0</v>
      </c>
      <c r="K23" s="37" t="str">
        <f t="shared" si="18"/>
        <v/>
      </c>
      <c r="L23" s="69" t="str">
        <f t="shared" si="5"/>
        <v/>
      </c>
      <c r="M23" s="39">
        <f t="shared" si="12"/>
        <v>0</v>
      </c>
      <c r="N23" s="39">
        <f t="shared" si="13"/>
        <v>0</v>
      </c>
      <c r="O23" s="41" t="str">
        <f t="shared" si="14"/>
        <v/>
      </c>
      <c r="P23" s="39" t="str">
        <f t="shared" si="15"/>
        <v/>
      </c>
      <c r="Q23" s="52" t="str">
        <f t="shared" si="16"/>
        <v/>
      </c>
      <c r="R23" s="16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</row>
    <row r="24" spans="2:138" s="11" customFormat="1" ht="22.35" customHeight="1">
      <c r="B24" s="46">
        <v>2.6</v>
      </c>
      <c r="C24" s="62" t="s">
        <v>80</v>
      </c>
      <c r="D24" s="64"/>
      <c r="E24" s="25"/>
      <c r="F24" s="51"/>
      <c r="G24" s="51"/>
      <c r="H24" s="37" t="str">
        <f t="shared" si="11"/>
        <v/>
      </c>
      <c r="I24" s="58">
        <v>0</v>
      </c>
      <c r="J24" s="86">
        <f t="shared" si="17"/>
        <v>0</v>
      </c>
      <c r="K24" s="37" t="str">
        <f t="shared" si="18"/>
        <v/>
      </c>
      <c r="L24" s="69" t="str">
        <f t="shared" si="5"/>
        <v/>
      </c>
      <c r="M24" s="39">
        <f t="shared" si="12"/>
        <v>0</v>
      </c>
      <c r="N24" s="39">
        <f t="shared" si="13"/>
        <v>0</v>
      </c>
      <c r="O24" s="41" t="str">
        <f t="shared" si="14"/>
        <v/>
      </c>
      <c r="P24" s="39" t="str">
        <f t="shared" si="15"/>
        <v/>
      </c>
      <c r="Q24" s="52" t="str">
        <f t="shared" si="16"/>
        <v/>
      </c>
      <c r="R24" s="16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</row>
    <row r="25" spans="2:138" s="11" customFormat="1" ht="22.35" customHeight="1">
      <c r="B25" s="45">
        <v>2.7</v>
      </c>
      <c r="C25" s="62" t="s">
        <v>107</v>
      </c>
      <c r="D25" s="64"/>
      <c r="E25" s="25"/>
      <c r="F25" s="51"/>
      <c r="G25" s="51"/>
      <c r="H25" s="37" t="str">
        <f t="shared" si="11"/>
        <v/>
      </c>
      <c r="I25" s="58">
        <v>0</v>
      </c>
      <c r="J25" s="86">
        <f t="shared" si="17"/>
        <v>0</v>
      </c>
      <c r="K25" s="37" t="str">
        <f t="shared" si="18"/>
        <v/>
      </c>
      <c r="L25" s="69" t="str">
        <f t="shared" si="5"/>
        <v/>
      </c>
      <c r="M25" s="39">
        <f t="shared" si="12"/>
        <v>0</v>
      </c>
      <c r="N25" s="39">
        <f t="shared" si="13"/>
        <v>0</v>
      </c>
      <c r="O25" s="41" t="str">
        <f t="shared" si="14"/>
        <v/>
      </c>
      <c r="P25" s="39" t="str">
        <f t="shared" si="15"/>
        <v/>
      </c>
      <c r="Q25" s="52" t="str">
        <f t="shared" si="16"/>
        <v/>
      </c>
      <c r="R25" s="16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</row>
    <row r="26" spans="2:138" s="11" customFormat="1" ht="24.95" customHeight="1">
      <c r="B26" s="44">
        <v>3</v>
      </c>
      <c r="C26" s="67" t="s">
        <v>12</v>
      </c>
      <c r="D26" s="67"/>
      <c r="E26" s="88" t="s">
        <v>42</v>
      </c>
      <c r="F26" s="34">
        <f>MIN(F27:F32)</f>
        <v>0</v>
      </c>
      <c r="G26" s="34">
        <f>MAX(G27:G32)</f>
        <v>0</v>
      </c>
      <c r="H26" s="38" t="str">
        <f>IF(F26=0,"",G26-F26+1)</f>
        <v/>
      </c>
      <c r="I26" s="60" t="str">
        <f>IFERROR(SUMPRODUCT(H27:H32,I27:I32)/SUM(H27:H32),"")</f>
        <v/>
      </c>
      <c r="J26" s="34">
        <f>IF(MAX(J27:J32)="","",MAX(J27:J32))</f>
        <v>0</v>
      </c>
      <c r="K26" s="26">
        <f>J26-F26+1</f>
        <v>1</v>
      </c>
      <c r="L26" s="34"/>
      <c r="M26" s="38">
        <f>NETWORKDAYS(F26,G26)</f>
        <v>0</v>
      </c>
      <c r="N26" s="38">
        <f>NETWORKDAYS(F26,J26)</f>
        <v>0</v>
      </c>
      <c r="O26" s="38" t="str">
        <f>IFERROR(ROUNDDOWN(I26*H26,0),"")</f>
        <v/>
      </c>
      <c r="P26" s="38" t="str">
        <f>IFERROR(ROUNDDOWN(I26*K26,0),"")</f>
        <v/>
      </c>
      <c r="Q26" s="42" t="str">
        <f>IFERROR(H26-O26,"")</f>
        <v/>
      </c>
      <c r="R26" s="18" t="e">
        <f>K26-P26</f>
        <v>#VALUE!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</row>
    <row r="27" spans="2:138" s="11" customFormat="1" ht="22.35" customHeight="1">
      <c r="B27" s="45">
        <v>3.1</v>
      </c>
      <c r="C27" s="63" t="s">
        <v>108</v>
      </c>
      <c r="D27" s="66"/>
      <c r="E27" s="25"/>
      <c r="F27" s="51"/>
      <c r="G27" s="51"/>
      <c r="H27" s="36" t="str">
        <f t="shared" ref="H27:H32" si="19">IF(F27="","",G27-F27+1)</f>
        <v/>
      </c>
      <c r="I27" s="58">
        <v>0</v>
      </c>
      <c r="J27" s="86">
        <f>G27</f>
        <v>0</v>
      </c>
      <c r="K27" s="37" t="str">
        <f>IF(F27="","",J27-F27+1)</f>
        <v/>
      </c>
      <c r="L27" s="69" t="str">
        <f t="shared" si="5"/>
        <v/>
      </c>
      <c r="M27" s="39">
        <f t="shared" ref="M27:M32" si="20">NETWORKDAYS(F27,G27)</f>
        <v>0</v>
      </c>
      <c r="N27" s="39">
        <f t="shared" ref="N27:N32" si="21">NETWORKDAYS(F27,J27)</f>
        <v>0</v>
      </c>
      <c r="O27" s="41" t="str">
        <f t="shared" ref="O27:O32" si="22">IFERROR(ROUNDDOWN(I27*H27,0),"")</f>
        <v/>
      </c>
      <c r="P27" s="39" t="str">
        <f t="shared" ref="P27:P32" si="23">IFERROR(ROUNDDOWN(I27*K27,0),"")</f>
        <v/>
      </c>
      <c r="Q27" s="52" t="str">
        <f t="shared" ref="Q27:Q32" si="24">IFERROR(K27-P27,"")</f>
        <v/>
      </c>
      <c r="R27" s="16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</row>
    <row r="28" spans="2:138" s="11" customFormat="1" ht="22.35" customHeight="1">
      <c r="B28" s="46">
        <v>2.2000000000000002</v>
      </c>
      <c r="C28" s="62" t="s">
        <v>109</v>
      </c>
      <c r="D28" s="64"/>
      <c r="E28" s="25"/>
      <c r="F28" s="51"/>
      <c r="G28" s="51"/>
      <c r="H28" s="37" t="str">
        <f t="shared" si="19"/>
        <v/>
      </c>
      <c r="I28" s="58">
        <v>0</v>
      </c>
      <c r="J28" s="86">
        <f t="shared" ref="J28:J32" si="25">G28</f>
        <v>0</v>
      </c>
      <c r="K28" s="37" t="str">
        <f t="shared" ref="K28:K32" si="26">IF(F28="","",J28-F28+1)</f>
        <v/>
      </c>
      <c r="L28" s="69" t="str">
        <f t="shared" si="5"/>
        <v/>
      </c>
      <c r="M28" s="39">
        <f t="shared" si="20"/>
        <v>0</v>
      </c>
      <c r="N28" s="39">
        <f t="shared" si="21"/>
        <v>0</v>
      </c>
      <c r="O28" s="41" t="str">
        <f t="shared" si="22"/>
        <v/>
      </c>
      <c r="P28" s="39" t="str">
        <f t="shared" si="23"/>
        <v/>
      </c>
      <c r="Q28" s="52" t="str">
        <f t="shared" si="24"/>
        <v/>
      </c>
      <c r="R28" s="16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</row>
    <row r="29" spans="2:138" s="11" customFormat="1" ht="22.35" customHeight="1">
      <c r="B29" s="46">
        <v>2.2999999999999998</v>
      </c>
      <c r="C29" s="62" t="s">
        <v>110</v>
      </c>
      <c r="D29" s="64"/>
      <c r="E29" s="25"/>
      <c r="F29" s="51"/>
      <c r="G29" s="51"/>
      <c r="H29" s="37" t="str">
        <f t="shared" si="19"/>
        <v/>
      </c>
      <c r="I29" s="58">
        <v>0</v>
      </c>
      <c r="J29" s="86">
        <f t="shared" si="25"/>
        <v>0</v>
      </c>
      <c r="K29" s="37" t="str">
        <f t="shared" si="26"/>
        <v/>
      </c>
      <c r="L29" s="69" t="str">
        <f t="shared" si="5"/>
        <v/>
      </c>
      <c r="M29" s="39">
        <f t="shared" si="20"/>
        <v>0</v>
      </c>
      <c r="N29" s="39">
        <f t="shared" si="21"/>
        <v>0</v>
      </c>
      <c r="O29" s="41" t="str">
        <f t="shared" si="22"/>
        <v/>
      </c>
      <c r="P29" s="39" t="str">
        <f t="shared" si="23"/>
        <v/>
      </c>
      <c r="Q29" s="52" t="str">
        <f t="shared" si="24"/>
        <v/>
      </c>
      <c r="R29" s="16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</row>
    <row r="30" spans="2:138" s="11" customFormat="1" ht="22.35" customHeight="1">
      <c r="B30" s="46">
        <v>2.4000000000000004</v>
      </c>
      <c r="C30" s="62" t="s">
        <v>111</v>
      </c>
      <c r="D30" s="64"/>
      <c r="E30" s="25"/>
      <c r="F30" s="51"/>
      <c r="G30" s="51"/>
      <c r="H30" s="37" t="str">
        <f t="shared" si="19"/>
        <v/>
      </c>
      <c r="I30" s="58">
        <v>0</v>
      </c>
      <c r="J30" s="86">
        <f t="shared" si="25"/>
        <v>0</v>
      </c>
      <c r="K30" s="37" t="str">
        <f t="shared" si="26"/>
        <v/>
      </c>
      <c r="L30" s="69" t="str">
        <f t="shared" si="5"/>
        <v/>
      </c>
      <c r="M30" s="39">
        <f t="shared" si="20"/>
        <v>0</v>
      </c>
      <c r="N30" s="39">
        <f t="shared" si="21"/>
        <v>0</v>
      </c>
      <c r="O30" s="41" t="str">
        <f t="shared" si="22"/>
        <v/>
      </c>
      <c r="P30" s="39" t="str">
        <f t="shared" si="23"/>
        <v/>
      </c>
      <c r="Q30" s="52" t="str">
        <f t="shared" si="24"/>
        <v/>
      </c>
      <c r="R30" s="16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</row>
    <row r="31" spans="2:138" s="11" customFormat="1" ht="22.35" customHeight="1">
      <c r="B31" s="46">
        <v>2.5</v>
      </c>
      <c r="C31" s="62" t="s">
        <v>112</v>
      </c>
      <c r="D31" s="64"/>
      <c r="E31" s="25"/>
      <c r="F31" s="51"/>
      <c r="G31" s="51"/>
      <c r="H31" s="37" t="str">
        <f t="shared" si="19"/>
        <v/>
      </c>
      <c r="I31" s="58">
        <v>0</v>
      </c>
      <c r="J31" s="86">
        <f t="shared" si="25"/>
        <v>0</v>
      </c>
      <c r="K31" s="37" t="str">
        <f t="shared" si="26"/>
        <v/>
      </c>
      <c r="L31" s="69" t="str">
        <f t="shared" si="5"/>
        <v/>
      </c>
      <c r="M31" s="39">
        <f t="shared" si="20"/>
        <v>0</v>
      </c>
      <c r="N31" s="39">
        <f t="shared" si="21"/>
        <v>0</v>
      </c>
      <c r="O31" s="41" t="str">
        <f t="shared" si="22"/>
        <v/>
      </c>
      <c r="P31" s="39" t="str">
        <f t="shared" si="23"/>
        <v/>
      </c>
      <c r="Q31" s="52" t="str">
        <f t="shared" si="24"/>
        <v/>
      </c>
      <c r="R31" s="16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</row>
    <row r="32" spans="2:138" s="11" customFormat="1" ht="22.35" customHeight="1">
      <c r="B32" s="46">
        <v>2.6</v>
      </c>
      <c r="C32" s="62" t="s">
        <v>113</v>
      </c>
      <c r="D32" s="64"/>
      <c r="E32" s="25"/>
      <c r="F32" s="51"/>
      <c r="G32" s="51"/>
      <c r="H32" s="37" t="str">
        <f t="shared" si="19"/>
        <v/>
      </c>
      <c r="I32" s="58">
        <v>0</v>
      </c>
      <c r="J32" s="86">
        <f t="shared" si="25"/>
        <v>0</v>
      </c>
      <c r="K32" s="37" t="str">
        <f t="shared" si="26"/>
        <v/>
      </c>
      <c r="L32" s="69" t="str">
        <f t="shared" si="5"/>
        <v/>
      </c>
      <c r="M32" s="39">
        <f t="shared" si="20"/>
        <v>0</v>
      </c>
      <c r="N32" s="39">
        <f t="shared" si="21"/>
        <v>0</v>
      </c>
      <c r="O32" s="41" t="str">
        <f t="shared" si="22"/>
        <v/>
      </c>
      <c r="P32" s="39" t="str">
        <f t="shared" si="23"/>
        <v/>
      </c>
      <c r="Q32" s="52" t="str">
        <f t="shared" si="24"/>
        <v/>
      </c>
      <c r="R32" s="16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</row>
  </sheetData>
  <mergeCells count="8">
    <mergeCell ref="AJ4:AL4"/>
    <mergeCell ref="D6:E6"/>
    <mergeCell ref="C9:D9"/>
    <mergeCell ref="D4:E4"/>
    <mergeCell ref="T4:V4"/>
    <mergeCell ref="X4:Z4"/>
    <mergeCell ref="AB4:AD4"/>
    <mergeCell ref="AF4:AH4"/>
  </mergeCells>
  <phoneticPr fontId="39" type="noConversion"/>
  <conditionalFormatting sqref="I10">
    <cfRule type="dataBar" priority="15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{B35E461A-9180-4B71-971A-5AFB92642081}</x14:id>
        </ext>
      </extLst>
    </cfRule>
  </conditionalFormatting>
  <conditionalFormatting sqref="I11:I14 I17 I19:I25 I27:I30 I32">
    <cfRule type="dataBar" priority="1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{983F0F40-7EFE-4386-AC36-9AA48A518DA5}</x14:id>
        </ext>
      </extLst>
    </cfRule>
  </conditionalFormatting>
  <conditionalFormatting sqref="I11:I17">
    <cfRule type="dataBar" priority="1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{75F3DE62-9BE0-479B-B4F1-2027DF490336}</x14:id>
        </ext>
      </extLst>
    </cfRule>
  </conditionalFormatting>
  <conditionalFormatting sqref="I14">
    <cfRule type="dataBar" priority="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{6943BEB4-7745-4CC2-9D7E-78B187A7509A}</x14:id>
        </ext>
      </extLst>
    </cfRule>
  </conditionalFormatting>
  <conditionalFormatting sqref="I15">
    <cfRule type="dataBar" priority="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{AC3767DA-858C-4048-89AA-7CAFBBF07645}</x14:id>
        </ext>
      </extLst>
    </cfRule>
    <cfRule type="dataBar" priority="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{A0B32C35-F287-4891-8439-C5C66B82C528}</x14:id>
        </ext>
      </extLst>
    </cfRule>
  </conditionalFormatting>
  <conditionalFormatting sqref="I16">
    <cfRule type="dataBar" priority="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{CCABA785-B885-49E7-A10D-DA0066DDF4EF}</x14:id>
        </ext>
      </extLst>
    </cfRule>
    <cfRule type="dataBar" priority="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{269CEAC2-7CC5-42B0-B3BC-719B347175F0}</x14:id>
        </ext>
      </extLst>
    </cfRule>
    <cfRule type="dataBar" priority="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{5A6C9B6B-26D7-415D-A1AE-EFBD2ACBB829}</x14:id>
        </ext>
      </extLst>
    </cfRule>
    <cfRule type="dataBar" priority="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{861C2408-37AA-4A59-9EC5-711646D51DC6}</x14:id>
        </ext>
      </extLst>
    </cfRule>
  </conditionalFormatting>
  <conditionalFormatting sqref="I18">
    <cfRule type="dataBar" priority="10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{7754ED09-641A-4BE7-B58B-C8123838A8C1}</x14:id>
        </ext>
      </extLst>
    </cfRule>
  </conditionalFormatting>
  <conditionalFormatting sqref="I26">
    <cfRule type="dataBar" priority="9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{4C7464F8-0D2A-4A60-B3F9-42B2E47EC16D}</x14:id>
        </ext>
      </extLst>
    </cfRule>
  </conditionalFormatting>
  <conditionalFormatting sqref="I31">
    <cfRule type="dataBar" priority="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{9E1A8BB3-F761-4629-AF94-503146C124A0}</x14:id>
        </ext>
      </extLst>
    </cfRule>
  </conditionalFormatting>
  <conditionalFormatting sqref="J11:J17 L11:L17 J19:J25 L19:L25 J27:J32 L27:L32">
    <cfRule type="expression" dxfId="52" priority="19">
      <formula>$G11&lt;$J11</formula>
    </cfRule>
  </conditionalFormatting>
  <conditionalFormatting sqref="S7:EH7">
    <cfRule type="expression" dxfId="51" priority="16">
      <formula>YEAR(S7)=YEAR(S9)</formula>
    </cfRule>
  </conditionalFormatting>
  <conditionalFormatting sqref="S8:EH8">
    <cfRule type="expression" dxfId="50" priority="17">
      <formula>S$9=$D$4</formula>
    </cfRule>
  </conditionalFormatting>
  <conditionalFormatting sqref="S8:EH9">
    <cfRule type="expression" dxfId="49" priority="11">
      <formula>WEEKDAY(S$9,2)=6</formula>
    </cfRule>
    <cfRule type="expression" dxfId="48" priority="12">
      <formula>WEEKDAY(S$9,2)=7</formula>
    </cfRule>
  </conditionalFormatting>
  <conditionalFormatting sqref="S10:EH10 S18:EH18 S26:EH26">
    <cfRule type="expression" dxfId="47" priority="21">
      <formula>IF($K10&gt;$H10,AND(S$9&gt;=$F10,S$9&lt;=$J10-$R10),AND(S$9&gt;=$F10,S$9&lt;=$G10-$Q10))</formula>
    </cfRule>
    <cfRule type="expression" dxfId="46" priority="23">
      <formula>AND(S$9&gt;=$F10,S$9&lt;=$G10)</formula>
    </cfRule>
  </conditionalFormatting>
  <conditionalFormatting sqref="S10:EH32">
    <cfRule type="expression" dxfId="45" priority="22">
      <formula>AND(S$9&gt;$G10,S$9&lt;=$J10)</formula>
    </cfRule>
  </conditionalFormatting>
  <conditionalFormatting sqref="S11:EH17 S19:EH25 S27:EH32">
    <cfRule type="expression" dxfId="44" priority="20">
      <formula>IF($K11&gt;$H11,AND(S$9&gt;=$F11,S$9&lt;=$J11-$Q11),AND(S$9&gt;=$F11,S$9&lt;=$G11-$Q11))</formula>
    </cfRule>
    <cfRule type="expression" dxfId="43" priority="24">
      <formula>AND(S$9&gt;=$F11,S$9&lt;=$G11)</formula>
    </cfRule>
  </conditionalFormatting>
  <conditionalFormatting sqref="DZ9:EH9 S9:DY32">
    <cfRule type="expression" dxfId="42" priority="18">
      <formula>S$9=$D$4</formula>
    </cfRule>
  </conditionalFormatting>
  <dataValidations count="1">
    <dataValidation type="list" allowBlank="1" showInputMessage="1" showErrorMessage="1" sqref="D6:E6" xr:uid="{00000000-0002-0000-0400-000000000000}">
      <formula1>"월요일,화요일,수요일,목요일,금요일,토요일,일요일"</formula1>
    </dataValidation>
  </dataValidation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5E461A-9180-4B71-971A-5AFB9264208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983F0F40-7EFE-4386-AC36-9AA48A518DA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I11:I14 I17 I19:I25 I27:I30 I32</xm:sqref>
        </x14:conditionalFormatting>
        <x14:conditionalFormatting xmlns:xm="http://schemas.microsoft.com/office/excel/2006/main">
          <x14:cfRule type="dataBar" id="{75F3DE62-9BE0-479B-B4F1-2027DF4903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I11:I17</xm:sqref>
        </x14:conditionalFormatting>
        <x14:conditionalFormatting xmlns:xm="http://schemas.microsoft.com/office/excel/2006/main">
          <x14:cfRule type="dataBar" id="{6943BEB4-7745-4CC2-9D7E-78B187A7509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AC3767DA-858C-4048-89AA-7CAFBBF0764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A0B32C35-F287-4891-8439-C5C66B82C5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CCABA785-B885-49E7-A10D-DA0066DDF4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69CEAC2-7CC5-42B0-B3BC-719B347175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5A6C9B6B-26D7-415D-A1AE-EFBD2ACBB82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61C2408-37AA-4A59-9EC5-711646D51DC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7754ED09-641A-4BE7-B58B-C8123838A8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4C7464F8-0D2A-4A60-B3F9-42B2E47EC1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9E1A8BB3-F761-4629-AF94-503146C124A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B1:EH32"/>
  <sheetViews>
    <sheetView topLeftCell="A10" zoomScaleNormal="75" zoomScaleSheetLayoutView="100" workbookViewId="0">
      <selection activeCell="C23" sqref="C23"/>
    </sheetView>
  </sheetViews>
  <sheetFormatPr defaultColWidth="9.125" defaultRowHeight="13.5" outlineLevelCol="1"/>
  <cols>
    <col min="1" max="1" width="2.625" style="4" customWidth="1"/>
    <col min="2" max="2" width="7.375" style="4" customWidth="1"/>
    <col min="3" max="3" width="27" style="4" bestFit="1" customWidth="1"/>
    <col min="4" max="4" width="12.75" style="4" customWidth="1"/>
    <col min="5" max="5" width="9.125" style="4"/>
    <col min="6" max="7" width="13" style="4" bestFit="1" customWidth="1"/>
    <col min="8" max="8" width="8.75" style="4" bestFit="1" customWidth="1"/>
    <col min="9" max="9" width="12.25" style="4" customWidth="1"/>
    <col min="10" max="10" width="13" style="4" bestFit="1" customWidth="1"/>
    <col min="11" max="11" width="8.75" style="4" bestFit="1" customWidth="1"/>
    <col min="12" max="12" width="7.625" style="4" bestFit="1" customWidth="1"/>
    <col min="13" max="13" width="11.875" style="4" hidden="1" customWidth="1" outlineLevel="1"/>
    <col min="14" max="14" width="12.125" style="4" customWidth="1" collapsed="1"/>
    <col min="15" max="16" width="11.875" style="4" hidden="1" customWidth="1" outlineLevel="1"/>
    <col min="17" max="17" width="9.625" style="4" customWidth="1" collapsed="1"/>
    <col min="18" max="18" width="8.375" style="4" hidden="1" customWidth="1" outlineLevel="1"/>
    <col min="19" max="19" width="3.625" style="5" customWidth="1" collapsed="1"/>
    <col min="20" max="138" width="3.625" style="5" customWidth="1"/>
    <col min="139" max="139" width="2.625" style="4" customWidth="1"/>
    <col min="140" max="16384" width="9.125" style="4"/>
  </cols>
  <sheetData>
    <row r="1" spans="2:138" s="1" customFormat="1" ht="50.1" customHeight="1">
      <c r="B1" s="55" t="s">
        <v>114</v>
      </c>
      <c r="C1" s="55"/>
      <c r="D1" s="55"/>
      <c r="E1" s="55"/>
      <c r="F1" s="55"/>
      <c r="H1" s="5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spans="2:138" s="3" customFormat="1" ht="9.9499999999999993" customHeight="1"/>
    <row r="3" spans="2:138" ht="20.100000000000001" customHeight="1"/>
    <row r="4" spans="2:138" ht="23.1" customHeight="1">
      <c r="C4" s="20" t="s">
        <v>17</v>
      </c>
      <c r="D4" s="193">
        <f ca="1">TODAY()</f>
        <v>46065</v>
      </c>
      <c r="E4" s="193"/>
      <c r="F4" s="56" t="s">
        <v>18</v>
      </c>
      <c r="G4" s="53" t="s">
        <v>42</v>
      </c>
      <c r="H4" s="48"/>
      <c r="I4" s="50" t="s">
        <v>20</v>
      </c>
      <c r="S4" s="27"/>
      <c r="T4" s="190" t="s">
        <v>21</v>
      </c>
      <c r="U4" s="190"/>
      <c r="V4" s="190"/>
      <c r="W4" s="28"/>
      <c r="X4" s="190" t="s">
        <v>22</v>
      </c>
      <c r="Y4" s="190"/>
      <c r="Z4" s="190"/>
      <c r="AA4" s="29"/>
      <c r="AB4" s="190" t="s">
        <v>23</v>
      </c>
      <c r="AC4" s="190"/>
      <c r="AD4" s="190"/>
      <c r="AE4" s="30"/>
      <c r="AF4" s="190" t="s">
        <v>24</v>
      </c>
      <c r="AG4" s="190"/>
      <c r="AH4" s="190"/>
      <c r="AI4" s="31"/>
      <c r="AJ4" s="190" t="s">
        <v>25</v>
      </c>
      <c r="AK4" s="190"/>
      <c r="AL4" s="190"/>
      <c r="AM4" s="48"/>
      <c r="AN4" s="48"/>
      <c r="AO4" s="6"/>
      <c r="AP4" s="6"/>
      <c r="AQ4" s="6"/>
    </row>
    <row r="5" spans="2:138" ht="5.0999999999999996" customHeight="1">
      <c r="C5" s="21"/>
      <c r="D5" s="21"/>
      <c r="E5" s="21"/>
      <c r="F5" s="57"/>
      <c r="G5" s="21"/>
      <c r="H5" s="21"/>
      <c r="N5" s="6"/>
      <c r="O5" s="6"/>
      <c r="X5" s="7"/>
    </row>
    <row r="6" spans="2:138" ht="23.1" customHeight="1">
      <c r="C6" s="20" t="s">
        <v>26</v>
      </c>
      <c r="D6" s="191" t="s">
        <v>27</v>
      </c>
      <c r="E6" s="191"/>
      <c r="F6" s="56" t="s">
        <v>3</v>
      </c>
      <c r="G6" s="54">
        <v>46023</v>
      </c>
      <c r="H6" s="48"/>
      <c r="I6" s="61">
        <v>1</v>
      </c>
      <c r="J6" s="8">
        <v>0</v>
      </c>
      <c r="L6" s="8"/>
      <c r="N6" s="6"/>
      <c r="O6" s="6"/>
    </row>
    <row r="7" spans="2:138" ht="24.95" customHeight="1">
      <c r="R7" s="5"/>
      <c r="S7" s="49" t="str">
        <f>TEXT(DATE(YEAR(S9),MONTH(S9),DAY(S9)),"M월")</f>
        <v>12월</v>
      </c>
      <c r="T7" s="49" t="str">
        <f>IF(MONTH(T9)&lt;&gt;MONTH(S9),TEXT(DATE(YEAR(T9),MONTH(T9),DAY(T9)),"M월"),"")</f>
        <v/>
      </c>
      <c r="U7" s="49" t="str">
        <f t="shared" ref="U7:EH7" si="0">IF(MONTH(U9)&lt;&gt;MONTH(T9),TEXT(DATE(YEAR(U9),MONTH(U9),DAY(U9)),"M월"),"")</f>
        <v/>
      </c>
      <c r="V7" s="49" t="str">
        <f t="shared" si="0"/>
        <v>1월</v>
      </c>
      <c r="W7" s="49" t="str">
        <f t="shared" si="0"/>
        <v/>
      </c>
      <c r="X7" s="49" t="str">
        <f t="shared" si="0"/>
        <v/>
      </c>
      <c r="Y7" s="49" t="str">
        <f t="shared" si="0"/>
        <v/>
      </c>
      <c r="Z7" s="49" t="str">
        <f t="shared" si="0"/>
        <v/>
      </c>
      <c r="AA7" s="49" t="str">
        <f t="shared" si="0"/>
        <v/>
      </c>
      <c r="AB7" s="49" t="str">
        <f t="shared" si="0"/>
        <v/>
      </c>
      <c r="AC7" s="49" t="str">
        <f t="shared" si="0"/>
        <v/>
      </c>
      <c r="AD7" s="49" t="str">
        <f t="shared" si="0"/>
        <v/>
      </c>
      <c r="AE7" s="49" t="str">
        <f t="shared" si="0"/>
        <v/>
      </c>
      <c r="AF7" s="49" t="str">
        <f t="shared" si="0"/>
        <v/>
      </c>
      <c r="AG7" s="49" t="str">
        <f t="shared" si="0"/>
        <v/>
      </c>
      <c r="AH7" s="49" t="str">
        <f t="shared" si="0"/>
        <v/>
      </c>
      <c r="AI7" s="49" t="str">
        <f t="shared" si="0"/>
        <v/>
      </c>
      <c r="AJ7" s="49" t="str">
        <f t="shared" si="0"/>
        <v/>
      </c>
      <c r="AK7" s="49" t="str">
        <f t="shared" si="0"/>
        <v/>
      </c>
      <c r="AL7" s="49" t="str">
        <f t="shared" si="0"/>
        <v/>
      </c>
      <c r="AM7" s="49" t="str">
        <f t="shared" si="0"/>
        <v/>
      </c>
      <c r="AN7" s="49" t="str">
        <f t="shared" si="0"/>
        <v/>
      </c>
      <c r="AO7" s="49" t="str">
        <f t="shared" si="0"/>
        <v/>
      </c>
      <c r="AP7" s="49" t="str">
        <f t="shared" si="0"/>
        <v/>
      </c>
      <c r="AQ7" s="49" t="str">
        <f t="shared" si="0"/>
        <v/>
      </c>
      <c r="AR7" s="49" t="str">
        <f t="shared" si="0"/>
        <v/>
      </c>
      <c r="AS7" s="49" t="str">
        <f t="shared" si="0"/>
        <v/>
      </c>
      <c r="AT7" s="49" t="str">
        <f t="shared" si="0"/>
        <v/>
      </c>
      <c r="AU7" s="49" t="str">
        <f t="shared" si="0"/>
        <v/>
      </c>
      <c r="AV7" s="49" t="str">
        <f t="shared" si="0"/>
        <v/>
      </c>
      <c r="AW7" s="49" t="str">
        <f t="shared" si="0"/>
        <v/>
      </c>
      <c r="AX7" s="49" t="str">
        <f t="shared" si="0"/>
        <v/>
      </c>
      <c r="AY7" s="49" t="str">
        <f t="shared" si="0"/>
        <v/>
      </c>
      <c r="AZ7" s="49" t="str">
        <f t="shared" si="0"/>
        <v/>
      </c>
      <c r="BA7" s="49" t="str">
        <f t="shared" si="0"/>
        <v>2월</v>
      </c>
      <c r="BB7" s="49" t="str">
        <f t="shared" si="0"/>
        <v/>
      </c>
      <c r="BC7" s="49" t="str">
        <f t="shared" si="0"/>
        <v/>
      </c>
      <c r="BD7" s="49" t="str">
        <f t="shared" si="0"/>
        <v/>
      </c>
      <c r="BE7" s="49" t="str">
        <f t="shared" si="0"/>
        <v/>
      </c>
      <c r="BF7" s="49" t="str">
        <f t="shared" si="0"/>
        <v/>
      </c>
      <c r="BG7" s="49" t="str">
        <f t="shared" si="0"/>
        <v/>
      </c>
      <c r="BH7" s="49" t="str">
        <f t="shared" si="0"/>
        <v/>
      </c>
      <c r="BI7" s="49" t="str">
        <f t="shared" si="0"/>
        <v/>
      </c>
      <c r="BJ7" s="49" t="str">
        <f t="shared" si="0"/>
        <v/>
      </c>
      <c r="BK7" s="49" t="str">
        <f t="shared" si="0"/>
        <v/>
      </c>
      <c r="BL7" s="49" t="str">
        <f t="shared" si="0"/>
        <v/>
      </c>
      <c r="BM7" s="49" t="str">
        <f t="shared" si="0"/>
        <v/>
      </c>
      <c r="BN7" s="49" t="str">
        <f t="shared" si="0"/>
        <v/>
      </c>
      <c r="BO7" s="49" t="str">
        <f t="shared" si="0"/>
        <v/>
      </c>
      <c r="BP7" s="49" t="str">
        <f t="shared" si="0"/>
        <v/>
      </c>
      <c r="BQ7" s="49" t="str">
        <f t="shared" si="0"/>
        <v/>
      </c>
      <c r="BR7" s="49" t="str">
        <f t="shared" si="0"/>
        <v/>
      </c>
      <c r="BS7" s="49" t="str">
        <f t="shared" si="0"/>
        <v/>
      </c>
      <c r="BT7" s="49" t="str">
        <f t="shared" si="0"/>
        <v/>
      </c>
      <c r="BU7" s="49" t="str">
        <f t="shared" si="0"/>
        <v/>
      </c>
      <c r="BV7" s="49" t="str">
        <f t="shared" si="0"/>
        <v/>
      </c>
      <c r="BW7" s="49" t="str">
        <f t="shared" si="0"/>
        <v/>
      </c>
      <c r="BX7" s="49" t="str">
        <f t="shared" si="0"/>
        <v/>
      </c>
      <c r="BY7" s="49" t="str">
        <f t="shared" si="0"/>
        <v/>
      </c>
      <c r="BZ7" s="49" t="str">
        <f t="shared" si="0"/>
        <v/>
      </c>
      <c r="CA7" s="49" t="str">
        <f t="shared" si="0"/>
        <v/>
      </c>
      <c r="CB7" s="49" t="str">
        <f t="shared" si="0"/>
        <v/>
      </c>
      <c r="CC7" s="49" t="str">
        <f t="shared" si="0"/>
        <v>3월</v>
      </c>
      <c r="CD7" s="49" t="str">
        <f t="shared" si="0"/>
        <v/>
      </c>
      <c r="CE7" s="49" t="str">
        <f t="shared" si="0"/>
        <v/>
      </c>
      <c r="CF7" s="49" t="str">
        <f t="shared" si="0"/>
        <v/>
      </c>
      <c r="CG7" s="49" t="str">
        <f t="shared" si="0"/>
        <v/>
      </c>
      <c r="CH7" s="49" t="str">
        <f t="shared" si="0"/>
        <v/>
      </c>
      <c r="CI7" s="49" t="str">
        <f t="shared" si="0"/>
        <v/>
      </c>
      <c r="CJ7" s="49" t="str">
        <f t="shared" si="0"/>
        <v/>
      </c>
      <c r="CK7" s="49" t="str">
        <f t="shared" si="0"/>
        <v/>
      </c>
      <c r="CL7" s="49" t="str">
        <f t="shared" si="0"/>
        <v/>
      </c>
      <c r="CM7" s="49" t="str">
        <f t="shared" si="0"/>
        <v/>
      </c>
      <c r="CN7" s="49" t="str">
        <f t="shared" si="0"/>
        <v/>
      </c>
      <c r="CO7" s="49" t="str">
        <f t="shared" si="0"/>
        <v/>
      </c>
      <c r="CP7" s="49" t="str">
        <f t="shared" si="0"/>
        <v/>
      </c>
      <c r="CQ7" s="49" t="str">
        <f t="shared" si="0"/>
        <v/>
      </c>
      <c r="CR7" s="49" t="str">
        <f t="shared" si="0"/>
        <v/>
      </c>
      <c r="CS7" s="49" t="str">
        <f t="shared" si="0"/>
        <v/>
      </c>
      <c r="CT7" s="49" t="str">
        <f t="shared" si="0"/>
        <v/>
      </c>
      <c r="CU7" s="49" t="str">
        <f t="shared" si="0"/>
        <v/>
      </c>
      <c r="CV7" s="49" t="str">
        <f t="shared" si="0"/>
        <v/>
      </c>
      <c r="CW7" s="49" t="str">
        <f t="shared" si="0"/>
        <v/>
      </c>
      <c r="CX7" s="49" t="str">
        <f t="shared" si="0"/>
        <v/>
      </c>
      <c r="CY7" s="49" t="str">
        <f t="shared" si="0"/>
        <v/>
      </c>
      <c r="CZ7" s="49" t="str">
        <f t="shared" si="0"/>
        <v/>
      </c>
      <c r="DA7" s="49" t="str">
        <f t="shared" si="0"/>
        <v/>
      </c>
      <c r="DB7" s="49" t="str">
        <f t="shared" si="0"/>
        <v/>
      </c>
      <c r="DC7" s="49" t="str">
        <f t="shared" si="0"/>
        <v/>
      </c>
      <c r="DD7" s="49" t="str">
        <f t="shared" si="0"/>
        <v/>
      </c>
      <c r="DE7" s="49" t="str">
        <f t="shared" si="0"/>
        <v/>
      </c>
      <c r="DF7" s="49" t="str">
        <f t="shared" si="0"/>
        <v/>
      </c>
      <c r="DG7" s="49" t="str">
        <f t="shared" si="0"/>
        <v/>
      </c>
      <c r="DH7" s="49" t="str">
        <f t="shared" si="0"/>
        <v>4월</v>
      </c>
      <c r="DI7" s="49" t="str">
        <f t="shared" si="0"/>
        <v/>
      </c>
      <c r="DJ7" s="49" t="str">
        <f t="shared" si="0"/>
        <v/>
      </c>
      <c r="DK7" s="49" t="str">
        <f t="shared" si="0"/>
        <v/>
      </c>
      <c r="DL7" s="49" t="str">
        <f t="shared" si="0"/>
        <v/>
      </c>
      <c r="DM7" s="49" t="str">
        <f t="shared" si="0"/>
        <v/>
      </c>
      <c r="DN7" s="49" t="str">
        <f t="shared" si="0"/>
        <v/>
      </c>
      <c r="DO7" s="49" t="str">
        <f t="shared" si="0"/>
        <v/>
      </c>
      <c r="DP7" s="49" t="str">
        <f t="shared" si="0"/>
        <v/>
      </c>
      <c r="DQ7" s="49" t="str">
        <f t="shared" si="0"/>
        <v/>
      </c>
      <c r="DR7" s="49" t="str">
        <f t="shared" si="0"/>
        <v/>
      </c>
      <c r="DS7" s="49" t="str">
        <f t="shared" si="0"/>
        <v/>
      </c>
      <c r="DT7" s="49" t="str">
        <f t="shared" si="0"/>
        <v/>
      </c>
      <c r="DU7" s="49" t="str">
        <f t="shared" si="0"/>
        <v/>
      </c>
      <c r="DV7" s="49" t="str">
        <f t="shared" si="0"/>
        <v/>
      </c>
      <c r="DW7" s="49" t="str">
        <f t="shared" si="0"/>
        <v/>
      </c>
      <c r="DX7" s="49" t="str">
        <f t="shared" si="0"/>
        <v/>
      </c>
      <c r="DY7" s="49" t="str">
        <f t="shared" si="0"/>
        <v/>
      </c>
      <c r="DZ7" s="49" t="str">
        <f t="shared" si="0"/>
        <v/>
      </c>
      <c r="EA7" s="49" t="str">
        <f t="shared" si="0"/>
        <v/>
      </c>
      <c r="EB7" s="49" t="str">
        <f t="shared" si="0"/>
        <v/>
      </c>
      <c r="EC7" s="49" t="str">
        <f t="shared" si="0"/>
        <v/>
      </c>
      <c r="ED7" s="49" t="str">
        <f t="shared" si="0"/>
        <v/>
      </c>
      <c r="EE7" s="49" t="str">
        <f t="shared" si="0"/>
        <v/>
      </c>
      <c r="EF7" s="49" t="str">
        <f t="shared" si="0"/>
        <v/>
      </c>
      <c r="EG7" s="49" t="str">
        <f t="shared" si="0"/>
        <v/>
      </c>
      <c r="EH7" s="49" t="str">
        <f t="shared" si="0"/>
        <v/>
      </c>
    </row>
    <row r="8" spans="2:138" ht="18" customHeight="1">
      <c r="S8" s="47">
        <f>S9</f>
        <v>46020</v>
      </c>
      <c r="T8" s="47">
        <f t="shared" ref="T8:EH9" si="1">S8+$I$6</f>
        <v>46021</v>
      </c>
      <c r="U8" s="47">
        <f t="shared" si="1"/>
        <v>46022</v>
      </c>
      <c r="V8" s="47">
        <f t="shared" si="1"/>
        <v>46023</v>
      </c>
      <c r="W8" s="47">
        <f t="shared" si="1"/>
        <v>46024</v>
      </c>
      <c r="X8" s="47">
        <f t="shared" si="1"/>
        <v>46025</v>
      </c>
      <c r="Y8" s="47">
        <f t="shared" si="1"/>
        <v>46026</v>
      </c>
      <c r="Z8" s="47">
        <f t="shared" si="1"/>
        <v>46027</v>
      </c>
      <c r="AA8" s="47">
        <f t="shared" si="1"/>
        <v>46028</v>
      </c>
      <c r="AB8" s="47">
        <f t="shared" si="1"/>
        <v>46029</v>
      </c>
      <c r="AC8" s="47">
        <f t="shared" si="1"/>
        <v>46030</v>
      </c>
      <c r="AD8" s="47">
        <f t="shared" si="1"/>
        <v>46031</v>
      </c>
      <c r="AE8" s="47">
        <f t="shared" si="1"/>
        <v>46032</v>
      </c>
      <c r="AF8" s="47">
        <f t="shared" si="1"/>
        <v>46033</v>
      </c>
      <c r="AG8" s="47">
        <f t="shared" si="1"/>
        <v>46034</v>
      </c>
      <c r="AH8" s="47">
        <f t="shared" si="1"/>
        <v>46035</v>
      </c>
      <c r="AI8" s="47">
        <f t="shared" si="1"/>
        <v>46036</v>
      </c>
      <c r="AJ8" s="47">
        <f t="shared" si="1"/>
        <v>46037</v>
      </c>
      <c r="AK8" s="47">
        <f t="shared" si="1"/>
        <v>46038</v>
      </c>
      <c r="AL8" s="47">
        <f t="shared" si="1"/>
        <v>46039</v>
      </c>
      <c r="AM8" s="47">
        <f t="shared" si="1"/>
        <v>46040</v>
      </c>
      <c r="AN8" s="47">
        <f t="shared" si="1"/>
        <v>46041</v>
      </c>
      <c r="AO8" s="47">
        <f t="shared" si="1"/>
        <v>46042</v>
      </c>
      <c r="AP8" s="47">
        <f t="shared" si="1"/>
        <v>46043</v>
      </c>
      <c r="AQ8" s="47">
        <f t="shared" si="1"/>
        <v>46044</v>
      </c>
      <c r="AR8" s="47">
        <f t="shared" si="1"/>
        <v>46045</v>
      </c>
      <c r="AS8" s="47">
        <f t="shared" si="1"/>
        <v>46046</v>
      </c>
      <c r="AT8" s="47">
        <f t="shared" si="1"/>
        <v>46047</v>
      </c>
      <c r="AU8" s="47">
        <f t="shared" si="1"/>
        <v>46048</v>
      </c>
      <c r="AV8" s="47">
        <f t="shared" si="1"/>
        <v>46049</v>
      </c>
      <c r="AW8" s="47">
        <f t="shared" si="1"/>
        <v>46050</v>
      </c>
      <c r="AX8" s="47">
        <f t="shared" si="1"/>
        <v>46051</v>
      </c>
      <c r="AY8" s="47">
        <f t="shared" si="1"/>
        <v>46052</v>
      </c>
      <c r="AZ8" s="47">
        <f t="shared" si="1"/>
        <v>46053</v>
      </c>
      <c r="BA8" s="47">
        <f t="shared" si="1"/>
        <v>46054</v>
      </c>
      <c r="BB8" s="47">
        <f t="shared" si="1"/>
        <v>46055</v>
      </c>
      <c r="BC8" s="47">
        <f t="shared" si="1"/>
        <v>46056</v>
      </c>
      <c r="BD8" s="47">
        <f t="shared" si="1"/>
        <v>46057</v>
      </c>
      <c r="BE8" s="47">
        <f t="shared" si="1"/>
        <v>46058</v>
      </c>
      <c r="BF8" s="47">
        <f t="shared" si="1"/>
        <v>46059</v>
      </c>
      <c r="BG8" s="47">
        <f t="shared" si="1"/>
        <v>46060</v>
      </c>
      <c r="BH8" s="47">
        <f t="shared" si="1"/>
        <v>46061</v>
      </c>
      <c r="BI8" s="47">
        <f t="shared" si="1"/>
        <v>46062</v>
      </c>
      <c r="BJ8" s="47">
        <f t="shared" si="1"/>
        <v>46063</v>
      </c>
      <c r="BK8" s="47">
        <f t="shared" si="1"/>
        <v>46064</v>
      </c>
      <c r="BL8" s="47">
        <f t="shared" si="1"/>
        <v>46065</v>
      </c>
      <c r="BM8" s="47">
        <f t="shared" si="1"/>
        <v>46066</v>
      </c>
      <c r="BN8" s="47">
        <f t="shared" si="1"/>
        <v>46067</v>
      </c>
      <c r="BO8" s="47">
        <f t="shared" si="1"/>
        <v>46068</v>
      </c>
      <c r="BP8" s="47">
        <f t="shared" si="1"/>
        <v>46069</v>
      </c>
      <c r="BQ8" s="47">
        <f t="shared" si="1"/>
        <v>46070</v>
      </c>
      <c r="BR8" s="47">
        <f t="shared" si="1"/>
        <v>46071</v>
      </c>
      <c r="BS8" s="47">
        <f t="shared" si="1"/>
        <v>46072</v>
      </c>
      <c r="BT8" s="47">
        <f t="shared" si="1"/>
        <v>46073</v>
      </c>
      <c r="BU8" s="47">
        <f t="shared" si="1"/>
        <v>46074</v>
      </c>
      <c r="BV8" s="47">
        <f t="shared" si="1"/>
        <v>46075</v>
      </c>
      <c r="BW8" s="47">
        <f t="shared" si="1"/>
        <v>46076</v>
      </c>
      <c r="BX8" s="47">
        <f t="shared" si="1"/>
        <v>46077</v>
      </c>
      <c r="BY8" s="47">
        <f t="shared" si="1"/>
        <v>46078</v>
      </c>
      <c r="BZ8" s="47">
        <f t="shared" si="1"/>
        <v>46079</v>
      </c>
      <c r="CA8" s="47">
        <f t="shared" si="1"/>
        <v>46080</v>
      </c>
      <c r="CB8" s="47">
        <f t="shared" si="1"/>
        <v>46081</v>
      </c>
      <c r="CC8" s="47">
        <f t="shared" si="1"/>
        <v>46082</v>
      </c>
      <c r="CD8" s="47">
        <f t="shared" si="1"/>
        <v>46083</v>
      </c>
      <c r="CE8" s="47">
        <f t="shared" si="1"/>
        <v>46084</v>
      </c>
      <c r="CF8" s="47">
        <f t="shared" si="1"/>
        <v>46085</v>
      </c>
      <c r="CG8" s="47">
        <f t="shared" si="1"/>
        <v>46086</v>
      </c>
      <c r="CH8" s="47">
        <f t="shared" si="1"/>
        <v>46087</v>
      </c>
      <c r="CI8" s="47">
        <f t="shared" si="1"/>
        <v>46088</v>
      </c>
      <c r="CJ8" s="47">
        <f t="shared" si="1"/>
        <v>46089</v>
      </c>
      <c r="CK8" s="47">
        <f t="shared" si="1"/>
        <v>46090</v>
      </c>
      <c r="CL8" s="47">
        <f t="shared" si="1"/>
        <v>46091</v>
      </c>
      <c r="CM8" s="47">
        <f t="shared" si="1"/>
        <v>46092</v>
      </c>
      <c r="CN8" s="47">
        <f t="shared" si="1"/>
        <v>46093</v>
      </c>
      <c r="CO8" s="47">
        <f t="shared" si="1"/>
        <v>46094</v>
      </c>
      <c r="CP8" s="47">
        <f t="shared" si="1"/>
        <v>46095</v>
      </c>
      <c r="CQ8" s="47">
        <f t="shared" si="1"/>
        <v>46096</v>
      </c>
      <c r="CR8" s="47">
        <f t="shared" si="1"/>
        <v>46097</v>
      </c>
      <c r="CS8" s="47">
        <f t="shared" si="1"/>
        <v>46098</v>
      </c>
      <c r="CT8" s="47">
        <f t="shared" si="1"/>
        <v>46099</v>
      </c>
      <c r="CU8" s="47">
        <f t="shared" si="1"/>
        <v>46100</v>
      </c>
      <c r="CV8" s="47">
        <f t="shared" si="1"/>
        <v>46101</v>
      </c>
      <c r="CW8" s="47">
        <f t="shared" si="1"/>
        <v>46102</v>
      </c>
      <c r="CX8" s="47">
        <f t="shared" si="1"/>
        <v>46103</v>
      </c>
      <c r="CY8" s="47">
        <f t="shared" si="1"/>
        <v>46104</v>
      </c>
      <c r="CZ8" s="47">
        <f t="shared" si="1"/>
        <v>46105</v>
      </c>
      <c r="DA8" s="47">
        <f t="shared" si="1"/>
        <v>46106</v>
      </c>
      <c r="DB8" s="47">
        <f t="shared" si="1"/>
        <v>46107</v>
      </c>
      <c r="DC8" s="47">
        <f t="shared" si="1"/>
        <v>46108</v>
      </c>
      <c r="DD8" s="47">
        <f t="shared" si="1"/>
        <v>46109</v>
      </c>
      <c r="DE8" s="47">
        <f t="shared" si="1"/>
        <v>46110</v>
      </c>
      <c r="DF8" s="47">
        <f t="shared" si="1"/>
        <v>46111</v>
      </c>
      <c r="DG8" s="47">
        <f t="shared" si="1"/>
        <v>46112</v>
      </c>
      <c r="DH8" s="47">
        <f t="shared" si="1"/>
        <v>46113</v>
      </c>
      <c r="DI8" s="47">
        <f t="shared" si="1"/>
        <v>46114</v>
      </c>
      <c r="DJ8" s="47">
        <f t="shared" si="1"/>
        <v>46115</v>
      </c>
      <c r="DK8" s="47">
        <f t="shared" si="1"/>
        <v>46116</v>
      </c>
      <c r="DL8" s="47">
        <f t="shared" si="1"/>
        <v>46117</v>
      </c>
      <c r="DM8" s="47">
        <f t="shared" si="1"/>
        <v>46118</v>
      </c>
      <c r="DN8" s="47">
        <f t="shared" si="1"/>
        <v>46119</v>
      </c>
      <c r="DO8" s="47">
        <f t="shared" si="1"/>
        <v>46120</v>
      </c>
      <c r="DP8" s="47">
        <f t="shared" si="1"/>
        <v>46121</v>
      </c>
      <c r="DQ8" s="47">
        <f t="shared" si="1"/>
        <v>46122</v>
      </c>
      <c r="DR8" s="47">
        <f t="shared" si="1"/>
        <v>46123</v>
      </c>
      <c r="DS8" s="47">
        <f t="shared" si="1"/>
        <v>46124</v>
      </c>
      <c r="DT8" s="47">
        <f t="shared" si="1"/>
        <v>46125</v>
      </c>
      <c r="DU8" s="47">
        <f t="shared" si="1"/>
        <v>46126</v>
      </c>
      <c r="DV8" s="47">
        <f t="shared" si="1"/>
        <v>46127</v>
      </c>
      <c r="DW8" s="47">
        <f t="shared" si="1"/>
        <v>46128</v>
      </c>
      <c r="DX8" s="47">
        <f t="shared" si="1"/>
        <v>46129</v>
      </c>
      <c r="DY8" s="47">
        <f t="shared" si="1"/>
        <v>46130</v>
      </c>
      <c r="DZ8" s="47">
        <f t="shared" si="1"/>
        <v>46131</v>
      </c>
      <c r="EA8" s="47">
        <f t="shared" si="1"/>
        <v>46132</v>
      </c>
      <c r="EB8" s="47">
        <f t="shared" si="1"/>
        <v>46133</v>
      </c>
      <c r="EC8" s="47">
        <f t="shared" si="1"/>
        <v>46134</v>
      </c>
      <c r="ED8" s="47">
        <f t="shared" si="1"/>
        <v>46135</v>
      </c>
      <c r="EE8" s="47">
        <f t="shared" si="1"/>
        <v>46136</v>
      </c>
      <c r="EF8" s="47">
        <f t="shared" si="1"/>
        <v>46137</v>
      </c>
      <c r="EG8" s="47">
        <f t="shared" si="1"/>
        <v>46138</v>
      </c>
      <c r="EH8" s="47">
        <f t="shared" si="1"/>
        <v>46139</v>
      </c>
    </row>
    <row r="9" spans="2:138" s="9" customFormat="1" ht="23.1" customHeight="1">
      <c r="B9" s="22" t="s">
        <v>28</v>
      </c>
      <c r="C9" s="192" t="s">
        <v>1</v>
      </c>
      <c r="D9" s="192"/>
      <c r="E9" s="22" t="s">
        <v>29</v>
      </c>
      <c r="F9" s="22" t="s">
        <v>3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3" t="s">
        <v>40</v>
      </c>
      <c r="R9" s="10" t="s">
        <v>41</v>
      </c>
      <c r="S9" s="32">
        <f>$G$6-WEEKDAY($G$6,1)+INDEX({1;2;3;4;5;6;7},MATCH($D$6,{"일요일";"월요일";"화요일";"수요일";"목요일";"금요일";"토요일"},0))</f>
        <v>46020</v>
      </c>
      <c r="T9" s="32">
        <f t="shared" si="1"/>
        <v>46021</v>
      </c>
      <c r="U9" s="32">
        <f t="shared" si="1"/>
        <v>46022</v>
      </c>
      <c r="V9" s="32">
        <f t="shared" si="1"/>
        <v>46023</v>
      </c>
      <c r="W9" s="32">
        <f t="shared" si="1"/>
        <v>46024</v>
      </c>
      <c r="X9" s="32">
        <f t="shared" si="1"/>
        <v>46025</v>
      </c>
      <c r="Y9" s="32">
        <f t="shared" si="1"/>
        <v>46026</v>
      </c>
      <c r="Z9" s="32">
        <f t="shared" si="1"/>
        <v>46027</v>
      </c>
      <c r="AA9" s="32">
        <f t="shared" si="1"/>
        <v>46028</v>
      </c>
      <c r="AB9" s="32">
        <f t="shared" si="1"/>
        <v>46029</v>
      </c>
      <c r="AC9" s="32">
        <f t="shared" si="1"/>
        <v>46030</v>
      </c>
      <c r="AD9" s="32">
        <f t="shared" si="1"/>
        <v>46031</v>
      </c>
      <c r="AE9" s="32">
        <f t="shared" si="1"/>
        <v>46032</v>
      </c>
      <c r="AF9" s="32">
        <f t="shared" si="1"/>
        <v>46033</v>
      </c>
      <c r="AG9" s="32">
        <f t="shared" si="1"/>
        <v>46034</v>
      </c>
      <c r="AH9" s="32">
        <f t="shared" si="1"/>
        <v>46035</v>
      </c>
      <c r="AI9" s="32">
        <f t="shared" si="1"/>
        <v>46036</v>
      </c>
      <c r="AJ9" s="32">
        <f t="shared" si="1"/>
        <v>46037</v>
      </c>
      <c r="AK9" s="32">
        <f t="shared" si="1"/>
        <v>46038</v>
      </c>
      <c r="AL9" s="32">
        <f t="shared" si="1"/>
        <v>46039</v>
      </c>
      <c r="AM9" s="32">
        <f t="shared" si="1"/>
        <v>46040</v>
      </c>
      <c r="AN9" s="32">
        <f t="shared" si="1"/>
        <v>46041</v>
      </c>
      <c r="AO9" s="32">
        <f t="shared" si="1"/>
        <v>46042</v>
      </c>
      <c r="AP9" s="32">
        <f t="shared" si="1"/>
        <v>46043</v>
      </c>
      <c r="AQ9" s="32">
        <f t="shared" si="1"/>
        <v>46044</v>
      </c>
      <c r="AR9" s="32">
        <f t="shared" si="1"/>
        <v>46045</v>
      </c>
      <c r="AS9" s="32">
        <f t="shared" si="1"/>
        <v>46046</v>
      </c>
      <c r="AT9" s="32">
        <f t="shared" si="1"/>
        <v>46047</v>
      </c>
      <c r="AU9" s="32">
        <f t="shared" si="1"/>
        <v>46048</v>
      </c>
      <c r="AV9" s="32">
        <f t="shared" si="1"/>
        <v>46049</v>
      </c>
      <c r="AW9" s="32">
        <f t="shared" si="1"/>
        <v>46050</v>
      </c>
      <c r="AX9" s="32">
        <f t="shared" si="1"/>
        <v>46051</v>
      </c>
      <c r="AY9" s="32">
        <f t="shared" si="1"/>
        <v>46052</v>
      </c>
      <c r="AZ9" s="32">
        <f t="shared" si="1"/>
        <v>46053</v>
      </c>
      <c r="BA9" s="32">
        <f t="shared" si="1"/>
        <v>46054</v>
      </c>
      <c r="BB9" s="32">
        <f t="shared" si="1"/>
        <v>46055</v>
      </c>
      <c r="BC9" s="32">
        <f t="shared" si="1"/>
        <v>46056</v>
      </c>
      <c r="BD9" s="32">
        <f t="shared" si="1"/>
        <v>46057</v>
      </c>
      <c r="BE9" s="32">
        <f t="shared" si="1"/>
        <v>46058</v>
      </c>
      <c r="BF9" s="32">
        <f t="shared" si="1"/>
        <v>46059</v>
      </c>
      <c r="BG9" s="32">
        <f t="shared" si="1"/>
        <v>46060</v>
      </c>
      <c r="BH9" s="32">
        <f t="shared" si="1"/>
        <v>46061</v>
      </c>
      <c r="BI9" s="32">
        <f t="shared" si="1"/>
        <v>46062</v>
      </c>
      <c r="BJ9" s="32">
        <f t="shared" si="1"/>
        <v>46063</v>
      </c>
      <c r="BK9" s="32">
        <f t="shared" si="1"/>
        <v>46064</v>
      </c>
      <c r="BL9" s="32">
        <f t="shared" si="1"/>
        <v>46065</v>
      </c>
      <c r="BM9" s="32">
        <f t="shared" si="1"/>
        <v>46066</v>
      </c>
      <c r="BN9" s="32">
        <f t="shared" si="1"/>
        <v>46067</v>
      </c>
      <c r="BO9" s="32">
        <f t="shared" si="1"/>
        <v>46068</v>
      </c>
      <c r="BP9" s="32">
        <f t="shared" si="1"/>
        <v>46069</v>
      </c>
      <c r="BQ9" s="32">
        <f t="shared" si="1"/>
        <v>46070</v>
      </c>
      <c r="BR9" s="32">
        <f t="shared" si="1"/>
        <v>46071</v>
      </c>
      <c r="BS9" s="32">
        <f t="shared" si="1"/>
        <v>46072</v>
      </c>
      <c r="BT9" s="32">
        <f t="shared" si="1"/>
        <v>46073</v>
      </c>
      <c r="BU9" s="32">
        <f t="shared" si="1"/>
        <v>46074</v>
      </c>
      <c r="BV9" s="32">
        <f t="shared" si="1"/>
        <v>46075</v>
      </c>
      <c r="BW9" s="32">
        <f t="shared" si="1"/>
        <v>46076</v>
      </c>
      <c r="BX9" s="32">
        <f t="shared" si="1"/>
        <v>46077</v>
      </c>
      <c r="BY9" s="32">
        <f t="shared" si="1"/>
        <v>46078</v>
      </c>
      <c r="BZ9" s="32">
        <f t="shared" si="1"/>
        <v>46079</v>
      </c>
      <c r="CA9" s="32">
        <f t="shared" si="1"/>
        <v>46080</v>
      </c>
      <c r="CB9" s="32">
        <f t="shared" si="1"/>
        <v>46081</v>
      </c>
      <c r="CC9" s="32">
        <f t="shared" si="1"/>
        <v>46082</v>
      </c>
      <c r="CD9" s="32">
        <f t="shared" si="1"/>
        <v>46083</v>
      </c>
      <c r="CE9" s="32">
        <f t="shared" si="1"/>
        <v>46084</v>
      </c>
      <c r="CF9" s="32">
        <f t="shared" si="1"/>
        <v>46085</v>
      </c>
      <c r="CG9" s="32">
        <f t="shared" si="1"/>
        <v>46086</v>
      </c>
      <c r="CH9" s="32">
        <f t="shared" si="1"/>
        <v>46087</v>
      </c>
      <c r="CI9" s="32">
        <f t="shared" si="1"/>
        <v>46088</v>
      </c>
      <c r="CJ9" s="32">
        <f t="shared" si="1"/>
        <v>46089</v>
      </c>
      <c r="CK9" s="32">
        <f t="shared" si="1"/>
        <v>46090</v>
      </c>
      <c r="CL9" s="32">
        <f t="shared" si="1"/>
        <v>46091</v>
      </c>
      <c r="CM9" s="32">
        <f t="shared" si="1"/>
        <v>46092</v>
      </c>
      <c r="CN9" s="32">
        <f t="shared" si="1"/>
        <v>46093</v>
      </c>
      <c r="CO9" s="32">
        <f t="shared" si="1"/>
        <v>46094</v>
      </c>
      <c r="CP9" s="32">
        <f t="shared" si="1"/>
        <v>46095</v>
      </c>
      <c r="CQ9" s="32">
        <f t="shared" si="1"/>
        <v>46096</v>
      </c>
      <c r="CR9" s="32">
        <f t="shared" si="1"/>
        <v>46097</v>
      </c>
      <c r="CS9" s="32">
        <f t="shared" si="1"/>
        <v>46098</v>
      </c>
      <c r="CT9" s="32">
        <f t="shared" si="1"/>
        <v>46099</v>
      </c>
      <c r="CU9" s="32">
        <f t="shared" si="1"/>
        <v>46100</v>
      </c>
      <c r="CV9" s="32">
        <f t="shared" si="1"/>
        <v>46101</v>
      </c>
      <c r="CW9" s="32">
        <f t="shared" si="1"/>
        <v>46102</v>
      </c>
      <c r="CX9" s="32">
        <f t="shared" si="1"/>
        <v>46103</v>
      </c>
      <c r="CY9" s="32">
        <f t="shared" si="1"/>
        <v>46104</v>
      </c>
      <c r="CZ9" s="32">
        <f t="shared" si="1"/>
        <v>46105</v>
      </c>
      <c r="DA9" s="32">
        <f t="shared" si="1"/>
        <v>46106</v>
      </c>
      <c r="DB9" s="32">
        <f t="shared" si="1"/>
        <v>46107</v>
      </c>
      <c r="DC9" s="32">
        <f t="shared" si="1"/>
        <v>46108</v>
      </c>
      <c r="DD9" s="32">
        <f t="shared" si="1"/>
        <v>46109</v>
      </c>
      <c r="DE9" s="32">
        <f t="shared" si="1"/>
        <v>46110</v>
      </c>
      <c r="DF9" s="32">
        <f t="shared" si="1"/>
        <v>46111</v>
      </c>
      <c r="DG9" s="32">
        <f t="shared" si="1"/>
        <v>46112</v>
      </c>
      <c r="DH9" s="32">
        <f t="shared" si="1"/>
        <v>46113</v>
      </c>
      <c r="DI9" s="32">
        <f t="shared" si="1"/>
        <v>46114</v>
      </c>
      <c r="DJ9" s="32">
        <f t="shared" si="1"/>
        <v>46115</v>
      </c>
      <c r="DK9" s="32">
        <f t="shared" si="1"/>
        <v>46116</v>
      </c>
      <c r="DL9" s="32">
        <f t="shared" si="1"/>
        <v>46117</v>
      </c>
      <c r="DM9" s="32">
        <f t="shared" si="1"/>
        <v>46118</v>
      </c>
      <c r="DN9" s="32">
        <f t="shared" si="1"/>
        <v>46119</v>
      </c>
      <c r="DO9" s="32">
        <f t="shared" si="1"/>
        <v>46120</v>
      </c>
      <c r="DP9" s="32">
        <f t="shared" si="1"/>
        <v>46121</v>
      </c>
      <c r="DQ9" s="32">
        <f t="shared" si="1"/>
        <v>46122</v>
      </c>
      <c r="DR9" s="32">
        <f t="shared" si="1"/>
        <v>46123</v>
      </c>
      <c r="DS9" s="32">
        <f t="shared" si="1"/>
        <v>46124</v>
      </c>
      <c r="DT9" s="32">
        <f t="shared" si="1"/>
        <v>46125</v>
      </c>
      <c r="DU9" s="32">
        <f t="shared" si="1"/>
        <v>46126</v>
      </c>
      <c r="DV9" s="32">
        <f t="shared" si="1"/>
        <v>46127</v>
      </c>
      <c r="DW9" s="32">
        <f t="shared" si="1"/>
        <v>46128</v>
      </c>
      <c r="DX9" s="32">
        <f t="shared" si="1"/>
        <v>46129</v>
      </c>
      <c r="DY9" s="32">
        <f t="shared" si="1"/>
        <v>46130</v>
      </c>
      <c r="DZ9" s="32">
        <f t="shared" si="1"/>
        <v>46131</v>
      </c>
      <c r="EA9" s="32">
        <f t="shared" si="1"/>
        <v>46132</v>
      </c>
      <c r="EB9" s="32">
        <f t="shared" si="1"/>
        <v>46133</v>
      </c>
      <c r="EC9" s="32">
        <f t="shared" si="1"/>
        <v>46134</v>
      </c>
      <c r="ED9" s="32">
        <f t="shared" si="1"/>
        <v>46135</v>
      </c>
      <c r="EE9" s="32">
        <f t="shared" si="1"/>
        <v>46136</v>
      </c>
      <c r="EF9" s="32">
        <f t="shared" si="1"/>
        <v>46137</v>
      </c>
      <c r="EG9" s="32">
        <f t="shared" si="1"/>
        <v>46138</v>
      </c>
      <c r="EH9" s="32">
        <f t="shared" si="1"/>
        <v>46139</v>
      </c>
    </row>
    <row r="10" spans="2:138" s="11" customFormat="1" ht="24.95" customHeight="1">
      <c r="B10" s="141">
        <v>1</v>
      </c>
      <c r="C10" s="142" t="s">
        <v>9</v>
      </c>
      <c r="D10" s="142"/>
      <c r="E10" s="143" t="s">
        <v>42</v>
      </c>
      <c r="F10" s="144">
        <f>MIN(F11:F17)</f>
        <v>46023</v>
      </c>
      <c r="G10" s="144">
        <f>MAX(G11:G17)</f>
        <v>46045</v>
      </c>
      <c r="H10" s="35">
        <f>IF(F10=0,"",G10-F10+1)</f>
        <v>23</v>
      </c>
      <c r="I10" s="59">
        <f>IFERROR(SUMPRODUCT(H11:H17,I11:I17)/SUM(H11:H17),"")</f>
        <v>0.4212121212121212</v>
      </c>
      <c r="J10" s="33">
        <f>IF(MAX(J11:J17)="","",MAX(J11:J17))</f>
        <v>46045</v>
      </c>
      <c r="K10" s="24">
        <f>J10-F10+1</f>
        <v>23</v>
      </c>
      <c r="L10" s="33"/>
      <c r="M10" s="35">
        <f>NETWORKDAYS(F10,G10)</f>
        <v>17</v>
      </c>
      <c r="N10" s="35">
        <f>NETWORKDAYS(F10,J10)</f>
        <v>17</v>
      </c>
      <c r="O10" s="35">
        <f>IFERROR(ROUNDDOWN(I10*H10,0),"")</f>
        <v>9</v>
      </c>
      <c r="P10" s="35">
        <f>IFERROR(ROUNDDOWN(I10*K10,0),"")</f>
        <v>9</v>
      </c>
      <c r="Q10" s="40">
        <f>IFERROR(H10-O10,"")</f>
        <v>14</v>
      </c>
      <c r="R10" s="12">
        <f>K10-P10</f>
        <v>14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2:138" s="11" customFormat="1" ht="22.35" customHeight="1">
      <c r="B11" s="45">
        <v>1.1000000000000001</v>
      </c>
      <c r="C11" s="63" t="s">
        <v>43</v>
      </c>
      <c r="D11" s="66"/>
      <c r="E11" s="25" t="s">
        <v>42</v>
      </c>
      <c r="F11" s="51"/>
      <c r="G11" s="51"/>
      <c r="H11" s="36" t="str">
        <f t="shared" ref="H11:H17" si="2">IF(F11="","",G11-F11+1)</f>
        <v/>
      </c>
      <c r="I11" s="58">
        <v>0</v>
      </c>
      <c r="J11" s="86">
        <f>G11</f>
        <v>0</v>
      </c>
      <c r="K11" s="37" t="str">
        <f t="shared" ref="K11:K17" si="3">IF(F11="","",J11-F11+1)</f>
        <v/>
      </c>
      <c r="L11" s="69" t="str">
        <f>IF(J11&gt;G11,J11-G11,"")</f>
        <v/>
      </c>
      <c r="M11" s="39">
        <f>NETWORKDAYS(F11,G11)</f>
        <v>0</v>
      </c>
      <c r="N11" s="39">
        <f>NETWORKDAYS(F11,J11)</f>
        <v>0</v>
      </c>
      <c r="O11" s="41" t="str">
        <f>IFERROR(ROUNDDOWN(I11*H11,0),"")</f>
        <v/>
      </c>
      <c r="P11" s="39" t="str">
        <f>IFERROR(ROUNDDOWN(I11*K11,0),"")</f>
        <v/>
      </c>
      <c r="Q11" s="52" t="str">
        <f>IFERROR(K11-P11,"")</f>
        <v/>
      </c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</row>
    <row r="12" spans="2:138" s="11" customFormat="1" ht="22.35" customHeight="1">
      <c r="B12" s="46">
        <v>1.2</v>
      </c>
      <c r="C12" s="62" t="s">
        <v>44</v>
      </c>
      <c r="D12" s="64"/>
      <c r="E12" s="25" t="s">
        <v>42</v>
      </c>
      <c r="F12" s="51">
        <v>46023</v>
      </c>
      <c r="G12" s="51">
        <v>46042</v>
      </c>
      <c r="H12" s="37">
        <f t="shared" si="2"/>
        <v>20</v>
      </c>
      <c r="I12" s="58">
        <v>0.5</v>
      </c>
      <c r="J12" s="86">
        <f t="shared" ref="J12:J17" si="4">G12</f>
        <v>46042</v>
      </c>
      <c r="K12" s="37">
        <f t="shared" si="3"/>
        <v>20</v>
      </c>
      <c r="L12" s="69" t="str">
        <f t="shared" ref="L12:L32" si="5">IF(J12&gt;G12,J12-G12,"")</f>
        <v/>
      </c>
      <c r="M12" s="39">
        <f>NETWORKDAYS(F12,G12)</f>
        <v>14</v>
      </c>
      <c r="N12" s="39">
        <f>NETWORKDAYS(F12,J12)</f>
        <v>14</v>
      </c>
      <c r="O12" s="41">
        <f>IFERROR(ROUNDDOWN(I12*H12,0),"")</f>
        <v>10</v>
      </c>
      <c r="P12" s="39">
        <f>IFERROR(ROUNDDOWN(I12*K12,0),"")</f>
        <v>10</v>
      </c>
      <c r="Q12" s="52">
        <f>IFERROR(K12-P12,"")</f>
        <v>10</v>
      </c>
      <c r="R12" s="16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</row>
    <row r="13" spans="2:138" s="11" customFormat="1" ht="22.35" customHeight="1">
      <c r="B13" s="45">
        <v>1.3000000000000009</v>
      </c>
      <c r="C13" s="62" t="s">
        <v>45</v>
      </c>
      <c r="D13" s="64"/>
      <c r="E13" s="25" t="s">
        <v>42</v>
      </c>
      <c r="F13" s="51">
        <v>46033</v>
      </c>
      <c r="G13" s="51">
        <v>46045</v>
      </c>
      <c r="H13" s="37">
        <f t="shared" si="2"/>
        <v>13</v>
      </c>
      <c r="I13" s="58">
        <v>0.3</v>
      </c>
      <c r="J13" s="86">
        <f t="shared" si="4"/>
        <v>46045</v>
      </c>
      <c r="K13" s="37">
        <f t="shared" si="3"/>
        <v>13</v>
      </c>
      <c r="L13" s="69" t="str">
        <f t="shared" si="5"/>
        <v/>
      </c>
      <c r="M13" s="39">
        <f t="shared" ref="M13:M17" si="6">NETWORKDAYS(F13,G13)</f>
        <v>10</v>
      </c>
      <c r="N13" s="39">
        <f t="shared" ref="N13:N17" si="7">NETWORKDAYS(F13,J13)</f>
        <v>10</v>
      </c>
      <c r="O13" s="41">
        <f t="shared" ref="O13:O17" si="8">IFERROR(ROUNDDOWN(I13*H13,0),"")</f>
        <v>3</v>
      </c>
      <c r="P13" s="39">
        <f t="shared" ref="P13:P17" si="9">IFERROR(ROUNDDOWN(I13*K13,0),"")</f>
        <v>3</v>
      </c>
      <c r="Q13" s="52">
        <f t="shared" ref="Q13:Q17" si="10">IFERROR(K13-P13,"")</f>
        <v>10</v>
      </c>
      <c r="R13" s="1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</row>
    <row r="14" spans="2:138" s="11" customFormat="1" ht="22.35" customHeight="1">
      <c r="B14" s="46">
        <v>1.4000000000000017</v>
      </c>
      <c r="C14" s="62" t="s">
        <v>72</v>
      </c>
      <c r="D14" s="64"/>
      <c r="E14" s="25" t="s">
        <v>42</v>
      </c>
      <c r="F14" s="51"/>
      <c r="G14" s="51"/>
      <c r="H14" s="37" t="str">
        <f t="shared" si="2"/>
        <v/>
      </c>
      <c r="I14" s="58">
        <v>0</v>
      </c>
      <c r="J14" s="86">
        <f t="shared" si="4"/>
        <v>0</v>
      </c>
      <c r="K14" s="37" t="str">
        <f t="shared" si="3"/>
        <v/>
      </c>
      <c r="L14" s="69" t="str">
        <f t="shared" si="5"/>
        <v/>
      </c>
      <c r="M14" s="39">
        <f t="shared" si="6"/>
        <v>0</v>
      </c>
      <c r="N14" s="39">
        <f t="shared" si="7"/>
        <v>0</v>
      </c>
      <c r="O14" s="41" t="str">
        <f t="shared" si="8"/>
        <v/>
      </c>
      <c r="P14" s="39" t="str">
        <f t="shared" si="9"/>
        <v/>
      </c>
      <c r="Q14" s="52" t="str">
        <f t="shared" si="10"/>
        <v/>
      </c>
      <c r="R14" s="16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</row>
    <row r="15" spans="2:138" s="11" customFormat="1" ht="22.35" customHeight="1">
      <c r="B15" s="45">
        <v>1.5000000000000027</v>
      </c>
      <c r="C15" s="62" t="s">
        <v>101</v>
      </c>
      <c r="D15" s="64"/>
      <c r="E15" s="25" t="s">
        <v>115</v>
      </c>
      <c r="F15" s="51"/>
      <c r="G15" s="51"/>
      <c r="H15" s="37" t="str">
        <f t="shared" si="2"/>
        <v/>
      </c>
      <c r="I15" s="58">
        <v>0</v>
      </c>
      <c r="J15" s="86">
        <f t="shared" si="4"/>
        <v>0</v>
      </c>
      <c r="K15" s="37" t="str">
        <f t="shared" si="3"/>
        <v/>
      </c>
      <c r="L15" s="69" t="str">
        <f t="shared" si="5"/>
        <v/>
      </c>
      <c r="M15" s="39">
        <f t="shared" si="6"/>
        <v>0</v>
      </c>
      <c r="N15" s="39">
        <f t="shared" si="7"/>
        <v>0</v>
      </c>
      <c r="O15" s="41" t="str">
        <f t="shared" si="8"/>
        <v/>
      </c>
      <c r="P15" s="39" t="str">
        <f t="shared" si="9"/>
        <v/>
      </c>
      <c r="Q15" s="52" t="str">
        <f t="shared" si="10"/>
        <v/>
      </c>
      <c r="R15" s="16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</row>
    <row r="16" spans="2:138" s="11" customFormat="1" ht="22.35" customHeight="1">
      <c r="B16" s="46">
        <v>1.6000000000000034</v>
      </c>
      <c r="C16" s="62" t="s">
        <v>47</v>
      </c>
      <c r="D16" s="64"/>
      <c r="E16" s="25" t="s">
        <v>115</v>
      </c>
      <c r="F16" s="51"/>
      <c r="G16" s="51"/>
      <c r="H16" s="37" t="str">
        <f t="shared" si="2"/>
        <v/>
      </c>
      <c r="I16" s="58">
        <v>0</v>
      </c>
      <c r="J16" s="86">
        <f t="shared" si="4"/>
        <v>0</v>
      </c>
      <c r="K16" s="37" t="str">
        <f t="shared" si="3"/>
        <v/>
      </c>
      <c r="L16" s="69" t="str">
        <f t="shared" si="5"/>
        <v/>
      </c>
      <c r="M16" s="39">
        <f t="shared" si="6"/>
        <v>0</v>
      </c>
      <c r="N16" s="39">
        <f t="shared" si="7"/>
        <v>0</v>
      </c>
      <c r="O16" s="41" t="str">
        <f t="shared" si="8"/>
        <v/>
      </c>
      <c r="P16" s="39" t="str">
        <f t="shared" si="9"/>
        <v/>
      </c>
      <c r="Q16" s="52" t="str">
        <f t="shared" si="10"/>
        <v/>
      </c>
      <c r="R16" s="16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</row>
    <row r="17" spans="2:138" s="11" customFormat="1" ht="22.35" customHeight="1">
      <c r="B17" s="45">
        <v>1.7000000000000042</v>
      </c>
      <c r="C17" s="79" t="s">
        <v>102</v>
      </c>
      <c r="D17" s="80"/>
      <c r="E17" s="81" t="s">
        <v>42</v>
      </c>
      <c r="F17" s="51"/>
      <c r="G17" s="73"/>
      <c r="H17" s="82" t="str">
        <f t="shared" si="2"/>
        <v/>
      </c>
      <c r="I17" s="75">
        <v>0</v>
      </c>
      <c r="J17" s="86">
        <f t="shared" si="4"/>
        <v>0</v>
      </c>
      <c r="K17" s="82" t="str">
        <f t="shared" si="3"/>
        <v/>
      </c>
      <c r="L17" s="76" t="str">
        <f t="shared" si="5"/>
        <v/>
      </c>
      <c r="M17" s="83">
        <f t="shared" si="6"/>
        <v>0</v>
      </c>
      <c r="N17" s="83">
        <f t="shared" si="7"/>
        <v>0</v>
      </c>
      <c r="O17" s="84" t="str">
        <f t="shared" si="8"/>
        <v/>
      </c>
      <c r="P17" s="83" t="str">
        <f t="shared" si="9"/>
        <v/>
      </c>
      <c r="Q17" s="85" t="str">
        <f t="shared" si="10"/>
        <v/>
      </c>
      <c r="R17" s="16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</row>
    <row r="18" spans="2:138" s="11" customFormat="1" ht="24.95" customHeight="1">
      <c r="B18" s="146">
        <v>2</v>
      </c>
      <c r="C18" s="147" t="s">
        <v>10</v>
      </c>
      <c r="D18" s="147"/>
      <c r="E18" s="148" t="s">
        <v>42</v>
      </c>
      <c r="F18" s="149">
        <f>MIN(F19:F25)</f>
        <v>0</v>
      </c>
      <c r="G18" s="149">
        <f>MAX(G19:G25)</f>
        <v>0</v>
      </c>
      <c r="H18" s="38" t="str">
        <f>IF(F18=0,"",G18-F18+1)</f>
        <v/>
      </c>
      <c r="I18" s="60" t="str">
        <f>IFERROR(SUMPRODUCT(H19:H25,I19:I25)/SUM(H19:H25),"")</f>
        <v/>
      </c>
      <c r="J18" s="34">
        <f>IF(MAX(J19:J25)="","",MAX(J19:J25))</f>
        <v>0</v>
      </c>
      <c r="K18" s="26">
        <f>J18-F18+1</f>
        <v>1</v>
      </c>
      <c r="L18" s="34"/>
      <c r="M18" s="38">
        <f>NETWORKDAYS(F18,G18)</f>
        <v>0</v>
      </c>
      <c r="N18" s="38">
        <f>NETWORKDAYS(F18,J18)</f>
        <v>0</v>
      </c>
      <c r="O18" s="38" t="str">
        <f>IFERROR(ROUNDDOWN(I18*H18,0),"")</f>
        <v/>
      </c>
      <c r="P18" s="38" t="str">
        <f>IFERROR(ROUNDDOWN(I18*K18,0),"")</f>
        <v/>
      </c>
      <c r="Q18" s="42" t="str">
        <f>IFERROR(H18-O18,"")</f>
        <v/>
      </c>
      <c r="R18" s="18" t="e">
        <f>K18-P18</f>
        <v>#VALUE!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</row>
    <row r="19" spans="2:138" s="11" customFormat="1" ht="22.35" customHeight="1">
      <c r="B19" s="45">
        <v>2.1</v>
      </c>
      <c r="C19" s="63" t="s">
        <v>103</v>
      </c>
      <c r="D19" s="66"/>
      <c r="E19" s="25"/>
      <c r="F19" s="51"/>
      <c r="G19" s="51"/>
      <c r="H19" s="36" t="str">
        <f t="shared" ref="H19:H25" si="11">IF(F19="","",G19-F19+1)</f>
        <v/>
      </c>
      <c r="I19" s="58">
        <v>0</v>
      </c>
      <c r="J19" s="86">
        <f>G19</f>
        <v>0</v>
      </c>
      <c r="K19" s="37" t="str">
        <f>IF(F19="","",J19-F19+1)</f>
        <v/>
      </c>
      <c r="L19" s="69" t="str">
        <f t="shared" si="5"/>
        <v/>
      </c>
      <c r="M19" s="39">
        <f t="shared" ref="M19:M25" si="12">NETWORKDAYS(F19,G19)</f>
        <v>0</v>
      </c>
      <c r="N19" s="39">
        <f t="shared" ref="N19:N25" si="13">NETWORKDAYS(F19,J19)</f>
        <v>0</v>
      </c>
      <c r="O19" s="41" t="str">
        <f t="shared" ref="O19:O25" si="14">IFERROR(ROUNDDOWN(I19*H19,0),"")</f>
        <v/>
      </c>
      <c r="P19" s="39" t="str">
        <f t="shared" ref="P19:P25" si="15">IFERROR(ROUNDDOWN(I19*K19,0),"")</f>
        <v/>
      </c>
      <c r="Q19" s="52" t="str">
        <f t="shared" ref="Q19:Q25" si="16">IFERROR(K19-P19,"")</f>
        <v/>
      </c>
      <c r="R19" s="1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</row>
    <row r="20" spans="2:138" s="11" customFormat="1" ht="22.35" customHeight="1">
      <c r="B20" s="46">
        <v>2.2000000000000002</v>
      </c>
      <c r="C20" s="70" t="s">
        <v>104</v>
      </c>
      <c r="D20" s="68"/>
      <c r="E20" s="25"/>
      <c r="F20" s="51"/>
      <c r="G20" s="51"/>
      <c r="H20" s="36" t="str">
        <f t="shared" si="11"/>
        <v/>
      </c>
      <c r="I20" s="58">
        <v>0</v>
      </c>
      <c r="J20" s="86">
        <f t="shared" ref="J20:J25" si="17">G20</f>
        <v>0</v>
      </c>
      <c r="K20" s="37" t="str">
        <f t="shared" ref="K20:K25" si="18">IF(F20="","",J20-F20+1)</f>
        <v/>
      </c>
      <c r="L20" s="69"/>
      <c r="M20" s="39"/>
      <c r="N20" s="39">
        <f t="shared" si="13"/>
        <v>0</v>
      </c>
      <c r="O20" s="41" t="str">
        <f t="shared" si="14"/>
        <v/>
      </c>
      <c r="P20" s="39" t="str">
        <f t="shared" si="15"/>
        <v/>
      </c>
      <c r="Q20" s="52" t="str">
        <f t="shared" si="16"/>
        <v/>
      </c>
      <c r="R20" s="16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</row>
    <row r="21" spans="2:138" s="11" customFormat="1" ht="22.35" customHeight="1">
      <c r="B21" s="45">
        <v>2.2999999999999998</v>
      </c>
      <c r="C21" s="70" t="s">
        <v>105</v>
      </c>
      <c r="D21" s="68"/>
      <c r="E21" s="25"/>
      <c r="F21" s="51"/>
      <c r="G21" s="51"/>
      <c r="H21" s="36" t="str">
        <f t="shared" si="11"/>
        <v/>
      </c>
      <c r="I21" s="58">
        <v>0</v>
      </c>
      <c r="J21" s="86">
        <f t="shared" si="17"/>
        <v>0</v>
      </c>
      <c r="K21" s="37" t="str">
        <f t="shared" si="18"/>
        <v/>
      </c>
      <c r="L21" s="69"/>
      <c r="M21" s="39"/>
      <c r="N21" s="39">
        <f t="shared" si="13"/>
        <v>0</v>
      </c>
      <c r="O21" s="41" t="str">
        <f t="shared" si="14"/>
        <v/>
      </c>
      <c r="P21" s="39" t="str">
        <f t="shared" si="15"/>
        <v/>
      </c>
      <c r="Q21" s="52" t="str">
        <f t="shared" si="16"/>
        <v/>
      </c>
      <c r="R21" s="16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</row>
    <row r="22" spans="2:138" s="11" customFormat="1" ht="22.35" customHeight="1">
      <c r="B22" s="46">
        <v>2.4</v>
      </c>
      <c r="C22" s="89" t="s">
        <v>106</v>
      </c>
      <c r="D22" s="64"/>
      <c r="E22" s="25"/>
      <c r="F22" s="51"/>
      <c r="G22" s="51"/>
      <c r="H22" s="37" t="str">
        <f t="shared" si="11"/>
        <v/>
      </c>
      <c r="I22" s="58">
        <v>0</v>
      </c>
      <c r="J22" s="86">
        <f t="shared" si="17"/>
        <v>0</v>
      </c>
      <c r="K22" s="37" t="str">
        <f t="shared" si="18"/>
        <v/>
      </c>
      <c r="L22" s="69" t="str">
        <f t="shared" si="5"/>
        <v/>
      </c>
      <c r="M22" s="39">
        <f t="shared" si="12"/>
        <v>0</v>
      </c>
      <c r="N22" s="39">
        <f t="shared" si="13"/>
        <v>0</v>
      </c>
      <c r="O22" s="41" t="str">
        <f t="shared" si="14"/>
        <v/>
      </c>
      <c r="P22" s="39" t="str">
        <f t="shared" si="15"/>
        <v/>
      </c>
      <c r="Q22" s="52" t="str">
        <f t="shared" si="16"/>
        <v/>
      </c>
      <c r="R22" s="16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</row>
    <row r="23" spans="2:138" s="11" customFormat="1" ht="22.35" customHeight="1">
      <c r="B23" s="45">
        <v>2.5</v>
      </c>
      <c r="C23" s="62" t="s">
        <v>79</v>
      </c>
      <c r="D23" s="64"/>
      <c r="E23" s="25"/>
      <c r="F23" s="51"/>
      <c r="G23" s="51"/>
      <c r="H23" s="37" t="str">
        <f t="shared" si="11"/>
        <v/>
      </c>
      <c r="I23" s="58">
        <v>0</v>
      </c>
      <c r="J23" s="86">
        <f t="shared" si="17"/>
        <v>0</v>
      </c>
      <c r="K23" s="37" t="str">
        <f t="shared" si="18"/>
        <v/>
      </c>
      <c r="L23" s="69" t="str">
        <f t="shared" si="5"/>
        <v/>
      </c>
      <c r="M23" s="39">
        <f t="shared" si="12"/>
        <v>0</v>
      </c>
      <c r="N23" s="39">
        <f t="shared" si="13"/>
        <v>0</v>
      </c>
      <c r="O23" s="41" t="str">
        <f t="shared" si="14"/>
        <v/>
      </c>
      <c r="P23" s="39" t="str">
        <f t="shared" si="15"/>
        <v/>
      </c>
      <c r="Q23" s="52" t="str">
        <f t="shared" si="16"/>
        <v/>
      </c>
      <c r="R23" s="16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</row>
    <row r="24" spans="2:138" s="11" customFormat="1" ht="22.35" customHeight="1">
      <c r="B24" s="46">
        <v>2.6</v>
      </c>
      <c r="C24" s="62" t="s">
        <v>80</v>
      </c>
      <c r="D24" s="64"/>
      <c r="E24" s="25"/>
      <c r="F24" s="51"/>
      <c r="G24" s="51"/>
      <c r="H24" s="37" t="str">
        <f t="shared" si="11"/>
        <v/>
      </c>
      <c r="I24" s="58">
        <v>0</v>
      </c>
      <c r="J24" s="86">
        <f t="shared" si="17"/>
        <v>0</v>
      </c>
      <c r="K24" s="37" t="str">
        <f t="shared" si="18"/>
        <v/>
      </c>
      <c r="L24" s="69" t="str">
        <f t="shared" si="5"/>
        <v/>
      </c>
      <c r="M24" s="39">
        <f t="shared" si="12"/>
        <v>0</v>
      </c>
      <c r="N24" s="39">
        <f t="shared" si="13"/>
        <v>0</v>
      </c>
      <c r="O24" s="41" t="str">
        <f t="shared" si="14"/>
        <v/>
      </c>
      <c r="P24" s="39" t="str">
        <f t="shared" si="15"/>
        <v/>
      </c>
      <c r="Q24" s="52" t="str">
        <f t="shared" si="16"/>
        <v/>
      </c>
      <c r="R24" s="16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</row>
    <row r="25" spans="2:138" s="11" customFormat="1" ht="22.35" customHeight="1">
      <c r="B25" s="45">
        <v>2.7</v>
      </c>
      <c r="C25" s="62" t="s">
        <v>107</v>
      </c>
      <c r="D25" s="64"/>
      <c r="E25" s="25"/>
      <c r="F25" s="51"/>
      <c r="G25" s="51"/>
      <c r="H25" s="37" t="str">
        <f t="shared" si="11"/>
        <v/>
      </c>
      <c r="I25" s="58">
        <v>0</v>
      </c>
      <c r="J25" s="86">
        <f t="shared" si="17"/>
        <v>0</v>
      </c>
      <c r="K25" s="37" t="str">
        <f t="shared" si="18"/>
        <v/>
      </c>
      <c r="L25" s="69" t="str">
        <f t="shared" si="5"/>
        <v/>
      </c>
      <c r="M25" s="39">
        <f t="shared" si="12"/>
        <v>0</v>
      </c>
      <c r="N25" s="39">
        <f t="shared" si="13"/>
        <v>0</v>
      </c>
      <c r="O25" s="41" t="str">
        <f t="shared" si="14"/>
        <v/>
      </c>
      <c r="P25" s="39" t="str">
        <f t="shared" si="15"/>
        <v/>
      </c>
      <c r="Q25" s="52" t="str">
        <f t="shared" si="16"/>
        <v/>
      </c>
      <c r="R25" s="16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</row>
    <row r="26" spans="2:138" s="11" customFormat="1" ht="24.95" customHeight="1">
      <c r="B26" s="146">
        <v>3</v>
      </c>
      <c r="C26" s="147" t="s">
        <v>12</v>
      </c>
      <c r="D26" s="147"/>
      <c r="E26" s="148" t="s">
        <v>42</v>
      </c>
      <c r="F26" s="149">
        <f>MIN(F27:F32)</f>
        <v>0</v>
      </c>
      <c r="G26" s="149">
        <f>MAX(G27:G32)</f>
        <v>0</v>
      </c>
      <c r="H26" s="38" t="str">
        <f>IF(F26=0,"",G26-F26+1)</f>
        <v/>
      </c>
      <c r="I26" s="60" t="str">
        <f>IFERROR(SUMPRODUCT(H27:H32,I27:I32)/SUM(H27:H32),"")</f>
        <v/>
      </c>
      <c r="J26" s="34">
        <f>IF(MAX(J27:J32)="","",MAX(J27:J32))</f>
        <v>0</v>
      </c>
      <c r="K26" s="26">
        <f>J26-F26+1</f>
        <v>1</v>
      </c>
      <c r="L26" s="34"/>
      <c r="M26" s="38">
        <f>NETWORKDAYS(F26,G26)</f>
        <v>0</v>
      </c>
      <c r="N26" s="38">
        <f>NETWORKDAYS(F26,J26)</f>
        <v>0</v>
      </c>
      <c r="O26" s="38" t="str">
        <f>IFERROR(ROUNDDOWN(I26*H26,0),"")</f>
        <v/>
      </c>
      <c r="P26" s="38" t="str">
        <f>IFERROR(ROUNDDOWN(I26*K26,0),"")</f>
        <v/>
      </c>
      <c r="Q26" s="42" t="str">
        <f>IFERROR(H26-O26,"")</f>
        <v/>
      </c>
      <c r="R26" s="18" t="e">
        <f>K26-P26</f>
        <v>#VALUE!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</row>
    <row r="27" spans="2:138" s="11" customFormat="1" ht="22.35" customHeight="1">
      <c r="B27" s="45">
        <v>3.1</v>
      </c>
      <c r="C27" s="63" t="s">
        <v>108</v>
      </c>
      <c r="D27" s="66"/>
      <c r="E27" s="25"/>
      <c r="F27" s="51"/>
      <c r="G27" s="51"/>
      <c r="H27" s="36" t="str">
        <f t="shared" ref="H27:H32" si="19">IF(F27="","",G27-F27+1)</f>
        <v/>
      </c>
      <c r="I27" s="58">
        <v>0</v>
      </c>
      <c r="J27" s="86">
        <f>G27</f>
        <v>0</v>
      </c>
      <c r="K27" s="37" t="str">
        <f>IF(F27="","",J27-F27+1)</f>
        <v/>
      </c>
      <c r="L27" s="69" t="str">
        <f t="shared" si="5"/>
        <v/>
      </c>
      <c r="M27" s="39">
        <f t="shared" ref="M27:M32" si="20">NETWORKDAYS(F27,G27)</f>
        <v>0</v>
      </c>
      <c r="N27" s="39">
        <f t="shared" ref="N27:N32" si="21">NETWORKDAYS(F27,J27)</f>
        <v>0</v>
      </c>
      <c r="O27" s="41" t="str">
        <f t="shared" ref="O27:O32" si="22">IFERROR(ROUNDDOWN(I27*H27,0),"")</f>
        <v/>
      </c>
      <c r="P27" s="39" t="str">
        <f t="shared" ref="P27:P32" si="23">IFERROR(ROUNDDOWN(I27*K27,0),"")</f>
        <v/>
      </c>
      <c r="Q27" s="52" t="str">
        <f t="shared" ref="Q27:Q32" si="24">IFERROR(K27-P27,"")</f>
        <v/>
      </c>
      <c r="R27" s="16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</row>
    <row r="28" spans="2:138" s="11" customFormat="1" ht="22.35" customHeight="1">
      <c r="B28" s="46">
        <v>2.2000000000000002</v>
      </c>
      <c r="C28" s="62" t="s">
        <v>109</v>
      </c>
      <c r="D28" s="64"/>
      <c r="E28" s="25"/>
      <c r="F28" s="51"/>
      <c r="G28" s="51"/>
      <c r="H28" s="37" t="str">
        <f t="shared" si="19"/>
        <v/>
      </c>
      <c r="I28" s="58">
        <v>0</v>
      </c>
      <c r="J28" s="86">
        <f t="shared" ref="J28:J32" si="25">G28</f>
        <v>0</v>
      </c>
      <c r="K28" s="37" t="str">
        <f t="shared" ref="K28:K32" si="26">IF(F28="","",J28-F28+1)</f>
        <v/>
      </c>
      <c r="L28" s="69" t="str">
        <f t="shared" si="5"/>
        <v/>
      </c>
      <c r="M28" s="39">
        <f t="shared" si="20"/>
        <v>0</v>
      </c>
      <c r="N28" s="39">
        <f t="shared" si="21"/>
        <v>0</v>
      </c>
      <c r="O28" s="41" t="str">
        <f t="shared" si="22"/>
        <v/>
      </c>
      <c r="P28" s="39" t="str">
        <f t="shared" si="23"/>
        <v/>
      </c>
      <c r="Q28" s="52" t="str">
        <f t="shared" si="24"/>
        <v/>
      </c>
      <c r="R28" s="16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</row>
    <row r="29" spans="2:138" s="11" customFormat="1" ht="22.35" customHeight="1">
      <c r="B29" s="46">
        <v>2.2999999999999998</v>
      </c>
      <c r="C29" s="62" t="s">
        <v>110</v>
      </c>
      <c r="D29" s="64"/>
      <c r="E29" s="25"/>
      <c r="F29" s="51"/>
      <c r="G29" s="51"/>
      <c r="H29" s="37" t="str">
        <f t="shared" si="19"/>
        <v/>
      </c>
      <c r="I29" s="58">
        <v>0</v>
      </c>
      <c r="J29" s="86">
        <f t="shared" si="25"/>
        <v>0</v>
      </c>
      <c r="K29" s="37" t="str">
        <f t="shared" si="26"/>
        <v/>
      </c>
      <c r="L29" s="69" t="str">
        <f t="shared" si="5"/>
        <v/>
      </c>
      <c r="M29" s="39">
        <f t="shared" si="20"/>
        <v>0</v>
      </c>
      <c r="N29" s="39">
        <f t="shared" si="21"/>
        <v>0</v>
      </c>
      <c r="O29" s="41" t="str">
        <f t="shared" si="22"/>
        <v/>
      </c>
      <c r="P29" s="39" t="str">
        <f t="shared" si="23"/>
        <v/>
      </c>
      <c r="Q29" s="52" t="str">
        <f t="shared" si="24"/>
        <v/>
      </c>
      <c r="R29" s="16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</row>
    <row r="30" spans="2:138" s="11" customFormat="1" ht="22.35" customHeight="1">
      <c r="B30" s="46">
        <v>2.4000000000000004</v>
      </c>
      <c r="C30" s="62" t="s">
        <v>111</v>
      </c>
      <c r="D30" s="64"/>
      <c r="E30" s="25"/>
      <c r="F30" s="51"/>
      <c r="G30" s="51"/>
      <c r="H30" s="37" t="str">
        <f t="shared" si="19"/>
        <v/>
      </c>
      <c r="I30" s="58">
        <v>0</v>
      </c>
      <c r="J30" s="86">
        <f t="shared" si="25"/>
        <v>0</v>
      </c>
      <c r="K30" s="37" t="str">
        <f t="shared" si="26"/>
        <v/>
      </c>
      <c r="L30" s="69" t="str">
        <f t="shared" si="5"/>
        <v/>
      </c>
      <c r="M30" s="39">
        <f t="shared" si="20"/>
        <v>0</v>
      </c>
      <c r="N30" s="39">
        <f t="shared" si="21"/>
        <v>0</v>
      </c>
      <c r="O30" s="41" t="str">
        <f t="shared" si="22"/>
        <v/>
      </c>
      <c r="P30" s="39" t="str">
        <f t="shared" si="23"/>
        <v/>
      </c>
      <c r="Q30" s="52" t="str">
        <f t="shared" si="24"/>
        <v/>
      </c>
      <c r="R30" s="16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</row>
    <row r="31" spans="2:138" s="11" customFormat="1" ht="22.35" customHeight="1">
      <c r="B31" s="46">
        <v>2.5</v>
      </c>
      <c r="C31" s="62" t="s">
        <v>112</v>
      </c>
      <c r="D31" s="64"/>
      <c r="E31" s="25"/>
      <c r="F31" s="51"/>
      <c r="G31" s="51"/>
      <c r="H31" s="37" t="str">
        <f t="shared" si="19"/>
        <v/>
      </c>
      <c r="I31" s="58">
        <v>0</v>
      </c>
      <c r="J31" s="86">
        <f t="shared" si="25"/>
        <v>0</v>
      </c>
      <c r="K31" s="37" t="str">
        <f t="shared" si="26"/>
        <v/>
      </c>
      <c r="L31" s="69" t="str">
        <f t="shared" si="5"/>
        <v/>
      </c>
      <c r="M31" s="39">
        <f t="shared" si="20"/>
        <v>0</v>
      </c>
      <c r="N31" s="39">
        <f t="shared" si="21"/>
        <v>0</v>
      </c>
      <c r="O31" s="41" t="str">
        <f t="shared" si="22"/>
        <v/>
      </c>
      <c r="P31" s="39" t="str">
        <f t="shared" si="23"/>
        <v/>
      </c>
      <c r="Q31" s="52" t="str">
        <f t="shared" si="24"/>
        <v/>
      </c>
      <c r="R31" s="16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</row>
    <row r="32" spans="2:138" s="11" customFormat="1" ht="22.35" customHeight="1">
      <c r="B32" s="46">
        <v>2.6</v>
      </c>
      <c r="C32" s="62" t="s">
        <v>113</v>
      </c>
      <c r="D32" s="64"/>
      <c r="E32" s="25"/>
      <c r="F32" s="51"/>
      <c r="G32" s="51"/>
      <c r="H32" s="37" t="str">
        <f t="shared" si="19"/>
        <v/>
      </c>
      <c r="I32" s="58">
        <v>0</v>
      </c>
      <c r="J32" s="86">
        <f t="shared" si="25"/>
        <v>0</v>
      </c>
      <c r="K32" s="37" t="str">
        <f t="shared" si="26"/>
        <v/>
      </c>
      <c r="L32" s="69" t="str">
        <f t="shared" si="5"/>
        <v/>
      </c>
      <c r="M32" s="39">
        <f t="shared" si="20"/>
        <v>0</v>
      </c>
      <c r="N32" s="39">
        <f t="shared" si="21"/>
        <v>0</v>
      </c>
      <c r="O32" s="41" t="str">
        <f t="shared" si="22"/>
        <v/>
      </c>
      <c r="P32" s="39" t="str">
        <f t="shared" si="23"/>
        <v/>
      </c>
      <c r="Q32" s="52" t="str">
        <f t="shared" si="24"/>
        <v/>
      </c>
      <c r="R32" s="16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</row>
  </sheetData>
  <mergeCells count="8">
    <mergeCell ref="AJ4:AL4"/>
    <mergeCell ref="D6:E6"/>
    <mergeCell ref="C9:D9"/>
    <mergeCell ref="D4:E4"/>
    <mergeCell ref="T4:V4"/>
    <mergeCell ref="X4:Z4"/>
    <mergeCell ref="AB4:AD4"/>
    <mergeCell ref="AF4:AH4"/>
  </mergeCells>
  <phoneticPr fontId="39" type="noConversion"/>
  <conditionalFormatting sqref="I10">
    <cfRule type="dataBar" priority="29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{314F9C25-2E71-4DC8-9B9F-02D32B84400B}</x14:id>
        </ext>
      </extLst>
    </cfRule>
  </conditionalFormatting>
  <conditionalFormatting sqref="I11:I14 I17 I19:I25 I27:I30 I32">
    <cfRule type="dataBar" priority="2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{ED25CFCD-77AE-4675-AE10-0521B0D8936C}</x14:id>
        </ext>
      </extLst>
    </cfRule>
  </conditionalFormatting>
  <conditionalFormatting sqref="I11:I15 I17">
    <cfRule type="dataBar" priority="2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{9C07A4D1-8A71-4047-A43C-012BC1FBB59D}</x14:id>
        </ext>
      </extLst>
    </cfRule>
  </conditionalFormatting>
  <conditionalFormatting sqref="I14">
    <cfRule type="dataBar" priority="20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{73950625-E804-47AC-94D8-5E5D19C1B62B}</x14:id>
        </ext>
      </extLst>
    </cfRule>
  </conditionalFormatting>
  <conditionalFormatting sqref="I15">
    <cfRule type="dataBar" priority="19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{0B627CB8-C800-4A12-AD6D-8E03D0F37D33}</x14:id>
        </ext>
      </extLst>
    </cfRule>
    <cfRule type="dataBar" priority="1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{D5E098EB-59C9-4529-BE90-7535DA3A2F7D}</x14:id>
        </ext>
      </extLst>
    </cfRule>
  </conditionalFormatting>
  <conditionalFormatting sqref="I16">
    <cfRule type="dataBar" priority="1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{91BFCB6A-532A-433D-822E-7109632F3F09}</x14:id>
        </ext>
      </extLst>
    </cfRule>
    <cfRule type="dataBar" priority="1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{1FD14FBF-AE9C-4405-AF17-11DB3A4D45AC}</x14:id>
        </ext>
      </extLst>
    </cfRule>
    <cfRule type="dataBar" priority="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{23490669-9F14-4E49-906B-31510E59149F}</x14:id>
        </ext>
      </extLst>
    </cfRule>
    <cfRule type="dataBar" priority="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{07434BA5-C27C-458F-98AA-5C49D03987BA}</x14:id>
        </ext>
      </extLst>
    </cfRule>
    <cfRule type="dataBar" priority="9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{0F6E84D4-BFEF-4DC8-AF52-5EC6AFB8EFCA}</x14:id>
        </ext>
      </extLst>
    </cfRule>
    <cfRule type="dataBar" priority="1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{C620E97B-8081-4F94-952F-474267AAEE6E}</x14:id>
        </ext>
      </extLst>
    </cfRule>
  </conditionalFormatting>
  <conditionalFormatting sqref="I18">
    <cfRule type="dataBar" priority="22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{6C9BADDC-84FC-43DC-BBE6-DE5BC8AB30FB}</x14:id>
        </ext>
      </extLst>
    </cfRule>
  </conditionalFormatting>
  <conditionalFormatting sqref="I26">
    <cfRule type="dataBar" priority="21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{8C0E4606-8E20-4309-B118-76477F21C053}</x14:id>
        </ext>
      </extLst>
    </cfRule>
  </conditionalFormatting>
  <conditionalFormatting sqref="I31">
    <cfRule type="dataBar" priority="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{E8A936ED-A78C-4A2C-A51E-26A5A78FD774}</x14:id>
        </ext>
      </extLst>
    </cfRule>
  </conditionalFormatting>
  <conditionalFormatting sqref="J11:J17 L11:L17">
    <cfRule type="expression" dxfId="41" priority="11">
      <formula>$G11&lt;$J11</formula>
    </cfRule>
  </conditionalFormatting>
  <conditionalFormatting sqref="J19:J25 L19:L25">
    <cfRule type="expression" dxfId="40" priority="33">
      <formula>$G19&lt;$J19</formula>
    </cfRule>
  </conditionalFormatting>
  <conditionalFormatting sqref="J27:J32 L27:L32">
    <cfRule type="expression" dxfId="39" priority="3">
      <formula>$G27&lt;$J27</formula>
    </cfRule>
  </conditionalFormatting>
  <conditionalFormatting sqref="S9:DY32">
    <cfRule type="expression" dxfId="38" priority="2">
      <formula>S$9=$D$4</formula>
    </cfRule>
  </conditionalFormatting>
  <conditionalFormatting sqref="S7:EH7">
    <cfRule type="expression" dxfId="37" priority="30">
      <formula>YEAR(S7)=YEAR(S9)</formula>
    </cfRule>
  </conditionalFormatting>
  <conditionalFormatting sqref="S8:EH8">
    <cfRule type="expression" dxfId="36" priority="31">
      <formula>S$9=$D$4</formula>
    </cfRule>
  </conditionalFormatting>
  <conditionalFormatting sqref="S8:EH9">
    <cfRule type="expression" dxfId="35" priority="24">
      <formula>WEEKDAY(S$9,2)=6</formula>
    </cfRule>
    <cfRule type="expression" dxfId="34" priority="25">
      <formula>WEEKDAY(S$9,2)=7</formula>
    </cfRule>
  </conditionalFormatting>
  <conditionalFormatting sqref="S10:EH10 S18:EH18 S26:EH26">
    <cfRule type="expression" dxfId="33" priority="35">
      <formula>IF($K10&gt;$H10,AND(S$9&gt;=$F10,S$9&lt;=$J10-$R10),AND(S$9&gt;=$F10,S$9&lt;=$G10-$Q10))</formula>
    </cfRule>
    <cfRule type="expression" dxfId="32" priority="37">
      <formula>AND(S$9&gt;=$F10,S$9&lt;=$G10)</formula>
    </cfRule>
  </conditionalFormatting>
  <conditionalFormatting sqref="S10:EH15 S17:EH30">
    <cfRule type="expression" dxfId="31" priority="36">
      <formula>AND(S$9&gt;$G10,S$9&lt;=$J10)</formula>
    </cfRule>
  </conditionalFormatting>
  <conditionalFormatting sqref="S11:EH15 S17:EH17 S19:EH25 S27:EH30">
    <cfRule type="expression" dxfId="30" priority="38">
      <formula>AND(S$9&gt;=$F11,S$9&lt;=$G11)</formula>
    </cfRule>
  </conditionalFormatting>
  <conditionalFormatting sqref="S11:EH17">
    <cfRule type="expression" dxfId="29" priority="12">
      <formula>IF($K11&gt;$H11,AND(S$9&gt;=$F11,S$9&lt;=$J11-$Q11),AND(S$9&gt;=$F11,S$9&lt;=$G11-$Q11))</formula>
    </cfRule>
  </conditionalFormatting>
  <conditionalFormatting sqref="S16:EH16">
    <cfRule type="expression" dxfId="28" priority="14">
      <formula>AND(S$9&gt;=$F16,S$9&lt;=$G16)</formula>
    </cfRule>
    <cfRule type="expression" dxfId="27" priority="13">
      <formula>AND(S$9&gt;$G16,S$9&lt;=$J16)</formula>
    </cfRule>
  </conditionalFormatting>
  <conditionalFormatting sqref="S19:EH25">
    <cfRule type="expression" dxfId="26" priority="34">
      <formula>IF($K19&gt;$H19,AND(S$9&gt;=$F19,S$9&lt;=$J19-$Q19),AND(S$9&gt;=$F19,S$9&lt;=$G19-$Q19))</formula>
    </cfRule>
  </conditionalFormatting>
  <conditionalFormatting sqref="S27:EH32">
    <cfRule type="expression" dxfId="25" priority="4">
      <formula>IF($K27&gt;$H27,AND(S$9&gt;=$F27,S$9&lt;=$J27-$Q27),AND(S$9&gt;=$F27,S$9&lt;=$G27-$Q27))</formula>
    </cfRule>
  </conditionalFormatting>
  <conditionalFormatting sqref="S31:EH32">
    <cfRule type="expression" dxfId="24" priority="6">
      <formula>AND(S$9&gt;=$F31,S$9&lt;=$G31)</formula>
    </cfRule>
    <cfRule type="expression" dxfId="23" priority="5">
      <formula>AND(S$9&gt;$G31,S$9&lt;=$J31)</formula>
    </cfRule>
  </conditionalFormatting>
  <conditionalFormatting sqref="DZ9:EH9">
    <cfRule type="expression" dxfId="22" priority="32">
      <formula>DZ$9=$D$4</formula>
    </cfRule>
  </conditionalFormatting>
  <dataValidations count="1">
    <dataValidation type="list" allowBlank="1" showInputMessage="1" showErrorMessage="1" sqref="D6:E6" xr:uid="{00000000-0002-0000-0300-000000000000}">
      <formula1>"월요일,화요일,수요일,목요일,금요일,토요일,일요일"</formula1>
    </dataValidation>
  </dataValidation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4F9C25-2E71-4DC8-9B9F-02D32B84400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ED25CFCD-77AE-4675-AE10-0521B0D8936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I11:I14 I17 I19:I25 I27:I30 I32</xm:sqref>
        </x14:conditionalFormatting>
        <x14:conditionalFormatting xmlns:xm="http://schemas.microsoft.com/office/excel/2006/main">
          <x14:cfRule type="dataBar" id="{9C07A4D1-8A71-4047-A43C-012BC1FBB5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I11:I15 I17</xm:sqref>
        </x14:conditionalFormatting>
        <x14:conditionalFormatting xmlns:xm="http://schemas.microsoft.com/office/excel/2006/main">
          <x14:cfRule type="dataBar" id="{73950625-E804-47AC-94D8-5E5D19C1B62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0B627CB8-C800-4A12-AD6D-8E03D0F37D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D5E098EB-59C9-4529-BE90-7535DA3A2F7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91BFCB6A-532A-433D-822E-7109632F3F0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D14FBF-AE9C-4405-AF17-11DB3A4D45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23490669-9F14-4E49-906B-31510E59149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7434BA5-C27C-458F-98AA-5C49D03987B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0F6E84D4-BFEF-4DC8-AF52-5EC6AFB8EFC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20E97B-8081-4F94-952F-474267AAEE6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6C9BADDC-84FC-43DC-BBE6-DE5BC8AB30F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8C0E4606-8E20-4309-B118-76477F21C05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E8A936ED-A78C-4A2C-A51E-26A5A78FD77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9C8C-A129-44DA-9837-3CB3F80C3E23}">
  <dimension ref="B1:EH32"/>
  <sheetViews>
    <sheetView zoomScaleNormal="75" zoomScaleSheetLayoutView="100" workbookViewId="0">
      <selection activeCell="J1" sqref="J1"/>
    </sheetView>
  </sheetViews>
  <sheetFormatPr defaultColWidth="9.125" defaultRowHeight="13.5" outlineLevelCol="1"/>
  <cols>
    <col min="1" max="1" width="2.625" style="4" customWidth="1"/>
    <col min="2" max="2" width="7.375" style="4" customWidth="1"/>
    <col min="3" max="3" width="27" style="4" bestFit="1" customWidth="1"/>
    <col min="4" max="4" width="12.75" style="4" customWidth="1"/>
    <col min="5" max="5" width="9.125" style="4"/>
    <col min="6" max="6" width="12.875" style="4" bestFit="1" customWidth="1"/>
    <col min="7" max="7" width="12.5" style="4" bestFit="1" customWidth="1"/>
    <col min="8" max="8" width="8.75" style="4" bestFit="1" customWidth="1"/>
    <col min="9" max="9" width="12.25" style="4" customWidth="1"/>
    <col min="10" max="10" width="13" style="4" bestFit="1" customWidth="1"/>
    <col min="11" max="11" width="8.75" style="4" bestFit="1" customWidth="1"/>
    <col min="12" max="12" width="7.625" style="4" bestFit="1" customWidth="1"/>
    <col min="13" max="13" width="11.875" style="4" hidden="1" customWidth="1" outlineLevel="1"/>
    <col min="14" max="14" width="12.125" style="4" customWidth="1" collapsed="1"/>
    <col min="15" max="16" width="11.875" style="4" hidden="1" customWidth="1" outlineLevel="1"/>
    <col min="17" max="17" width="9.625" style="4" customWidth="1" collapsed="1"/>
    <col min="18" max="18" width="8.375" style="4" hidden="1" customWidth="1" outlineLevel="1"/>
    <col min="19" max="19" width="3.625" style="5" customWidth="1" collapsed="1"/>
    <col min="20" max="138" width="3.625" style="5" customWidth="1"/>
    <col min="139" max="139" width="2.625" style="4" customWidth="1"/>
    <col min="140" max="16384" width="9.125" style="4"/>
  </cols>
  <sheetData>
    <row r="1" spans="2:138" s="1" customFormat="1" ht="50.1" customHeight="1">
      <c r="B1" s="55" t="s">
        <v>116</v>
      </c>
      <c r="C1" s="55"/>
      <c r="D1" s="55"/>
      <c r="E1" s="55"/>
      <c r="F1" s="55"/>
      <c r="H1" s="5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spans="2:138" s="3" customFormat="1" ht="9.9499999999999993" customHeight="1"/>
    <row r="3" spans="2:138" ht="20.100000000000001" customHeight="1"/>
    <row r="4" spans="2:138" ht="23.1" customHeight="1" thickBot="1">
      <c r="C4" s="20" t="s">
        <v>17</v>
      </c>
      <c r="D4" s="193">
        <f ca="1">TODAY()</f>
        <v>46065</v>
      </c>
      <c r="E4" s="193"/>
      <c r="F4" s="56" t="s">
        <v>18</v>
      </c>
      <c r="G4" s="53" t="s">
        <v>42</v>
      </c>
      <c r="H4" s="48"/>
      <c r="I4" s="50" t="s">
        <v>20</v>
      </c>
      <c r="S4" s="27"/>
      <c r="T4" s="190" t="s">
        <v>21</v>
      </c>
      <c r="U4" s="190"/>
      <c r="V4" s="190"/>
      <c r="W4" s="28"/>
      <c r="X4" s="190" t="s">
        <v>22</v>
      </c>
      <c r="Y4" s="190"/>
      <c r="Z4" s="190"/>
      <c r="AA4" s="29"/>
      <c r="AB4" s="190" t="s">
        <v>23</v>
      </c>
      <c r="AC4" s="190"/>
      <c r="AD4" s="190"/>
      <c r="AE4" s="30"/>
      <c r="AF4" s="190" t="s">
        <v>24</v>
      </c>
      <c r="AG4" s="190"/>
      <c r="AH4" s="190"/>
      <c r="AI4" s="31"/>
      <c r="AJ4" s="190" t="s">
        <v>25</v>
      </c>
      <c r="AK4" s="190"/>
      <c r="AL4" s="190"/>
      <c r="AM4" s="48"/>
      <c r="AN4" s="48"/>
      <c r="AO4" s="6"/>
      <c r="AP4" s="6"/>
      <c r="AQ4" s="6"/>
    </row>
    <row r="5" spans="2:138" ht="5.0999999999999996" customHeight="1" thickTop="1">
      <c r="C5" s="21"/>
      <c r="D5" s="21"/>
      <c r="E5" s="21"/>
      <c r="F5" s="57"/>
      <c r="G5" s="21"/>
      <c r="H5" s="21"/>
      <c r="N5" s="6"/>
      <c r="O5" s="6"/>
      <c r="X5" s="7"/>
    </row>
    <row r="6" spans="2:138" ht="23.1" customHeight="1" thickBot="1">
      <c r="C6" s="20" t="s">
        <v>26</v>
      </c>
      <c r="D6" s="191" t="s">
        <v>27</v>
      </c>
      <c r="E6" s="191"/>
      <c r="F6" s="56" t="s">
        <v>3</v>
      </c>
      <c r="G6" s="54">
        <v>46023</v>
      </c>
      <c r="H6" s="48"/>
      <c r="I6" s="61">
        <v>1</v>
      </c>
      <c r="J6" s="8">
        <v>0</v>
      </c>
      <c r="L6" s="8"/>
      <c r="N6" s="6"/>
      <c r="O6" s="6"/>
    </row>
    <row r="7" spans="2:138" ht="24.95" customHeight="1" thickTop="1">
      <c r="R7" s="5"/>
      <c r="S7" s="49" t="str">
        <f>TEXT(DATE(YEAR(S9),MONTH(S9),DAY(S9)),"M월")</f>
        <v>12월</v>
      </c>
      <c r="T7" s="49" t="str">
        <f>IF(MONTH(T9)&lt;&gt;MONTH(S9),TEXT(DATE(YEAR(T9),MONTH(T9),DAY(T9)),"M월"),"")</f>
        <v/>
      </c>
      <c r="U7" s="49" t="str">
        <f t="shared" ref="U7:CF7" si="0">IF(MONTH(U9)&lt;&gt;MONTH(T9),TEXT(DATE(YEAR(U9),MONTH(U9),DAY(U9)),"M월"),"")</f>
        <v/>
      </c>
      <c r="V7" s="49" t="str">
        <f t="shared" si="0"/>
        <v>1월</v>
      </c>
      <c r="W7" s="49" t="str">
        <f t="shared" si="0"/>
        <v/>
      </c>
      <c r="X7" s="49" t="str">
        <f t="shared" si="0"/>
        <v/>
      </c>
      <c r="Y7" s="49" t="str">
        <f t="shared" si="0"/>
        <v/>
      </c>
      <c r="Z7" s="49" t="str">
        <f t="shared" si="0"/>
        <v/>
      </c>
      <c r="AA7" s="49" t="str">
        <f t="shared" si="0"/>
        <v/>
      </c>
      <c r="AB7" s="49" t="str">
        <f t="shared" si="0"/>
        <v/>
      </c>
      <c r="AC7" s="49" t="str">
        <f t="shared" si="0"/>
        <v/>
      </c>
      <c r="AD7" s="49" t="str">
        <f t="shared" si="0"/>
        <v/>
      </c>
      <c r="AE7" s="49" t="str">
        <f t="shared" si="0"/>
        <v/>
      </c>
      <c r="AF7" s="49" t="str">
        <f t="shared" si="0"/>
        <v/>
      </c>
      <c r="AG7" s="49" t="str">
        <f t="shared" si="0"/>
        <v/>
      </c>
      <c r="AH7" s="49" t="str">
        <f t="shared" si="0"/>
        <v/>
      </c>
      <c r="AI7" s="49" t="str">
        <f t="shared" si="0"/>
        <v/>
      </c>
      <c r="AJ7" s="49" t="str">
        <f t="shared" si="0"/>
        <v/>
      </c>
      <c r="AK7" s="49" t="str">
        <f t="shared" si="0"/>
        <v/>
      </c>
      <c r="AL7" s="49" t="str">
        <f t="shared" si="0"/>
        <v/>
      </c>
      <c r="AM7" s="49" t="str">
        <f t="shared" si="0"/>
        <v/>
      </c>
      <c r="AN7" s="49" t="str">
        <f t="shared" si="0"/>
        <v/>
      </c>
      <c r="AO7" s="49" t="str">
        <f t="shared" si="0"/>
        <v/>
      </c>
      <c r="AP7" s="49" t="str">
        <f t="shared" si="0"/>
        <v/>
      </c>
      <c r="AQ7" s="49" t="str">
        <f t="shared" si="0"/>
        <v/>
      </c>
      <c r="AR7" s="49" t="str">
        <f t="shared" si="0"/>
        <v/>
      </c>
      <c r="AS7" s="49" t="str">
        <f t="shared" si="0"/>
        <v/>
      </c>
      <c r="AT7" s="49" t="str">
        <f t="shared" si="0"/>
        <v/>
      </c>
      <c r="AU7" s="49" t="str">
        <f t="shared" si="0"/>
        <v/>
      </c>
      <c r="AV7" s="49" t="str">
        <f t="shared" si="0"/>
        <v/>
      </c>
      <c r="AW7" s="49" t="str">
        <f t="shared" si="0"/>
        <v/>
      </c>
      <c r="AX7" s="49" t="str">
        <f t="shared" si="0"/>
        <v/>
      </c>
      <c r="AY7" s="49" t="str">
        <f t="shared" si="0"/>
        <v/>
      </c>
      <c r="AZ7" s="49" t="str">
        <f t="shared" si="0"/>
        <v/>
      </c>
      <c r="BA7" s="49" t="str">
        <f t="shared" si="0"/>
        <v>2월</v>
      </c>
      <c r="BB7" s="49" t="str">
        <f t="shared" si="0"/>
        <v/>
      </c>
      <c r="BC7" s="49" t="str">
        <f t="shared" si="0"/>
        <v/>
      </c>
      <c r="BD7" s="49" t="str">
        <f t="shared" si="0"/>
        <v/>
      </c>
      <c r="BE7" s="49" t="str">
        <f t="shared" si="0"/>
        <v/>
      </c>
      <c r="BF7" s="49" t="str">
        <f t="shared" si="0"/>
        <v/>
      </c>
      <c r="BG7" s="49" t="str">
        <f t="shared" si="0"/>
        <v/>
      </c>
      <c r="BH7" s="49" t="str">
        <f t="shared" si="0"/>
        <v/>
      </c>
      <c r="BI7" s="49" t="str">
        <f t="shared" si="0"/>
        <v/>
      </c>
      <c r="BJ7" s="49" t="str">
        <f t="shared" si="0"/>
        <v/>
      </c>
      <c r="BK7" s="49" t="str">
        <f t="shared" si="0"/>
        <v/>
      </c>
      <c r="BL7" s="49" t="str">
        <f t="shared" si="0"/>
        <v/>
      </c>
      <c r="BM7" s="49" t="str">
        <f t="shared" si="0"/>
        <v/>
      </c>
      <c r="BN7" s="49" t="str">
        <f t="shared" si="0"/>
        <v/>
      </c>
      <c r="BO7" s="49" t="str">
        <f t="shared" si="0"/>
        <v/>
      </c>
      <c r="BP7" s="49" t="str">
        <f t="shared" si="0"/>
        <v/>
      </c>
      <c r="BQ7" s="49" t="str">
        <f t="shared" si="0"/>
        <v/>
      </c>
      <c r="BR7" s="49" t="str">
        <f t="shared" si="0"/>
        <v/>
      </c>
      <c r="BS7" s="49" t="str">
        <f t="shared" si="0"/>
        <v/>
      </c>
      <c r="BT7" s="49" t="str">
        <f t="shared" si="0"/>
        <v/>
      </c>
      <c r="BU7" s="49" t="str">
        <f t="shared" si="0"/>
        <v/>
      </c>
      <c r="BV7" s="49" t="str">
        <f t="shared" si="0"/>
        <v/>
      </c>
      <c r="BW7" s="49" t="str">
        <f t="shared" si="0"/>
        <v/>
      </c>
      <c r="BX7" s="49" t="str">
        <f t="shared" si="0"/>
        <v/>
      </c>
      <c r="BY7" s="49" t="str">
        <f t="shared" si="0"/>
        <v/>
      </c>
      <c r="BZ7" s="49" t="str">
        <f t="shared" si="0"/>
        <v/>
      </c>
      <c r="CA7" s="49" t="str">
        <f t="shared" si="0"/>
        <v/>
      </c>
      <c r="CB7" s="49" t="str">
        <f t="shared" si="0"/>
        <v/>
      </c>
      <c r="CC7" s="49" t="str">
        <f t="shared" si="0"/>
        <v>3월</v>
      </c>
      <c r="CD7" s="49" t="str">
        <f t="shared" si="0"/>
        <v/>
      </c>
      <c r="CE7" s="49" t="str">
        <f t="shared" si="0"/>
        <v/>
      </c>
      <c r="CF7" s="49" t="str">
        <f t="shared" si="0"/>
        <v/>
      </c>
      <c r="CG7" s="49" t="str">
        <f t="shared" ref="CG7:EH7" si="1">IF(MONTH(CG9)&lt;&gt;MONTH(CF9),TEXT(DATE(YEAR(CG9),MONTH(CG9),DAY(CG9)),"M월"),"")</f>
        <v/>
      </c>
      <c r="CH7" s="49" t="str">
        <f t="shared" si="1"/>
        <v/>
      </c>
      <c r="CI7" s="49" t="str">
        <f t="shared" si="1"/>
        <v/>
      </c>
      <c r="CJ7" s="49" t="str">
        <f t="shared" si="1"/>
        <v/>
      </c>
      <c r="CK7" s="49" t="str">
        <f t="shared" si="1"/>
        <v/>
      </c>
      <c r="CL7" s="49" t="str">
        <f t="shared" si="1"/>
        <v/>
      </c>
      <c r="CM7" s="49" t="str">
        <f t="shared" si="1"/>
        <v/>
      </c>
      <c r="CN7" s="49" t="str">
        <f t="shared" si="1"/>
        <v/>
      </c>
      <c r="CO7" s="49" t="str">
        <f t="shared" si="1"/>
        <v/>
      </c>
      <c r="CP7" s="49" t="str">
        <f t="shared" si="1"/>
        <v/>
      </c>
      <c r="CQ7" s="49" t="str">
        <f t="shared" si="1"/>
        <v/>
      </c>
      <c r="CR7" s="49" t="str">
        <f t="shared" si="1"/>
        <v/>
      </c>
      <c r="CS7" s="49" t="str">
        <f t="shared" si="1"/>
        <v/>
      </c>
      <c r="CT7" s="49" t="str">
        <f t="shared" si="1"/>
        <v/>
      </c>
      <c r="CU7" s="49" t="str">
        <f t="shared" si="1"/>
        <v/>
      </c>
      <c r="CV7" s="49" t="str">
        <f t="shared" si="1"/>
        <v/>
      </c>
      <c r="CW7" s="49" t="str">
        <f t="shared" si="1"/>
        <v/>
      </c>
      <c r="CX7" s="49" t="str">
        <f t="shared" si="1"/>
        <v/>
      </c>
      <c r="CY7" s="49" t="str">
        <f t="shared" si="1"/>
        <v/>
      </c>
      <c r="CZ7" s="49" t="str">
        <f t="shared" si="1"/>
        <v/>
      </c>
      <c r="DA7" s="49" t="str">
        <f t="shared" si="1"/>
        <v/>
      </c>
      <c r="DB7" s="49" t="str">
        <f t="shared" si="1"/>
        <v/>
      </c>
      <c r="DC7" s="49" t="str">
        <f t="shared" si="1"/>
        <v/>
      </c>
      <c r="DD7" s="49" t="str">
        <f t="shared" si="1"/>
        <v/>
      </c>
      <c r="DE7" s="49" t="str">
        <f t="shared" si="1"/>
        <v/>
      </c>
      <c r="DF7" s="49" t="str">
        <f t="shared" si="1"/>
        <v/>
      </c>
      <c r="DG7" s="49" t="str">
        <f t="shared" si="1"/>
        <v/>
      </c>
      <c r="DH7" s="49" t="str">
        <f t="shared" si="1"/>
        <v>4월</v>
      </c>
      <c r="DI7" s="49" t="str">
        <f t="shared" si="1"/>
        <v/>
      </c>
      <c r="DJ7" s="49" t="str">
        <f t="shared" si="1"/>
        <v/>
      </c>
      <c r="DK7" s="49" t="str">
        <f t="shared" si="1"/>
        <v/>
      </c>
      <c r="DL7" s="49" t="str">
        <f t="shared" si="1"/>
        <v/>
      </c>
      <c r="DM7" s="49" t="str">
        <f t="shared" si="1"/>
        <v/>
      </c>
      <c r="DN7" s="49" t="str">
        <f t="shared" si="1"/>
        <v/>
      </c>
      <c r="DO7" s="49" t="str">
        <f t="shared" si="1"/>
        <v/>
      </c>
      <c r="DP7" s="49" t="str">
        <f t="shared" si="1"/>
        <v/>
      </c>
      <c r="DQ7" s="49" t="str">
        <f t="shared" si="1"/>
        <v/>
      </c>
      <c r="DR7" s="49" t="str">
        <f t="shared" si="1"/>
        <v/>
      </c>
      <c r="DS7" s="49" t="str">
        <f t="shared" si="1"/>
        <v/>
      </c>
      <c r="DT7" s="49" t="str">
        <f t="shared" si="1"/>
        <v/>
      </c>
      <c r="DU7" s="49" t="str">
        <f t="shared" si="1"/>
        <v/>
      </c>
      <c r="DV7" s="49" t="str">
        <f t="shared" si="1"/>
        <v/>
      </c>
      <c r="DW7" s="49" t="str">
        <f t="shared" si="1"/>
        <v/>
      </c>
      <c r="DX7" s="49" t="str">
        <f t="shared" si="1"/>
        <v/>
      </c>
      <c r="DY7" s="49" t="str">
        <f t="shared" si="1"/>
        <v/>
      </c>
      <c r="DZ7" s="49" t="str">
        <f t="shared" si="1"/>
        <v/>
      </c>
      <c r="EA7" s="49" t="str">
        <f t="shared" si="1"/>
        <v/>
      </c>
      <c r="EB7" s="49" t="str">
        <f t="shared" si="1"/>
        <v/>
      </c>
      <c r="EC7" s="49" t="str">
        <f t="shared" si="1"/>
        <v/>
      </c>
      <c r="ED7" s="49" t="str">
        <f t="shared" si="1"/>
        <v/>
      </c>
      <c r="EE7" s="49" t="str">
        <f t="shared" si="1"/>
        <v/>
      </c>
      <c r="EF7" s="49" t="str">
        <f t="shared" si="1"/>
        <v/>
      </c>
      <c r="EG7" s="49" t="str">
        <f t="shared" si="1"/>
        <v/>
      </c>
      <c r="EH7" s="49" t="str">
        <f t="shared" si="1"/>
        <v/>
      </c>
    </row>
    <row r="8" spans="2:138" ht="18" customHeight="1">
      <c r="S8" s="47">
        <f>S9</f>
        <v>46020</v>
      </c>
      <c r="T8" s="47">
        <f t="shared" ref="T8:AI9" si="2">S8+$I$6</f>
        <v>46021</v>
      </c>
      <c r="U8" s="47">
        <f t="shared" si="2"/>
        <v>46022</v>
      </c>
      <c r="V8" s="47">
        <f t="shared" si="2"/>
        <v>46023</v>
      </c>
      <c r="W8" s="47">
        <f t="shared" si="2"/>
        <v>46024</v>
      </c>
      <c r="X8" s="47">
        <f t="shared" si="2"/>
        <v>46025</v>
      </c>
      <c r="Y8" s="47">
        <f t="shared" si="2"/>
        <v>46026</v>
      </c>
      <c r="Z8" s="47">
        <f t="shared" si="2"/>
        <v>46027</v>
      </c>
      <c r="AA8" s="47">
        <f t="shared" si="2"/>
        <v>46028</v>
      </c>
      <c r="AB8" s="47">
        <f t="shared" si="2"/>
        <v>46029</v>
      </c>
      <c r="AC8" s="47">
        <f t="shared" si="2"/>
        <v>46030</v>
      </c>
      <c r="AD8" s="47">
        <f t="shared" si="2"/>
        <v>46031</v>
      </c>
      <c r="AE8" s="47">
        <f t="shared" si="2"/>
        <v>46032</v>
      </c>
      <c r="AF8" s="47">
        <f t="shared" si="2"/>
        <v>46033</v>
      </c>
      <c r="AG8" s="47">
        <f t="shared" si="2"/>
        <v>46034</v>
      </c>
      <c r="AH8" s="47">
        <f t="shared" si="2"/>
        <v>46035</v>
      </c>
      <c r="AI8" s="47">
        <f t="shared" si="2"/>
        <v>46036</v>
      </c>
      <c r="AJ8" s="47">
        <f t="shared" ref="AJ8:AY9" si="3">AI8+$I$6</f>
        <v>46037</v>
      </c>
      <c r="AK8" s="47">
        <f t="shared" si="3"/>
        <v>46038</v>
      </c>
      <c r="AL8" s="47">
        <f t="shared" si="3"/>
        <v>46039</v>
      </c>
      <c r="AM8" s="47">
        <f t="shared" si="3"/>
        <v>46040</v>
      </c>
      <c r="AN8" s="47">
        <f t="shared" si="3"/>
        <v>46041</v>
      </c>
      <c r="AO8" s="47">
        <f t="shared" si="3"/>
        <v>46042</v>
      </c>
      <c r="AP8" s="47">
        <f t="shared" si="3"/>
        <v>46043</v>
      </c>
      <c r="AQ8" s="47">
        <f t="shared" si="3"/>
        <v>46044</v>
      </c>
      <c r="AR8" s="47">
        <f t="shared" si="3"/>
        <v>46045</v>
      </c>
      <c r="AS8" s="47">
        <f t="shared" si="3"/>
        <v>46046</v>
      </c>
      <c r="AT8" s="47">
        <f t="shared" si="3"/>
        <v>46047</v>
      </c>
      <c r="AU8" s="47">
        <f t="shared" si="3"/>
        <v>46048</v>
      </c>
      <c r="AV8" s="47">
        <f t="shared" si="3"/>
        <v>46049</v>
      </c>
      <c r="AW8" s="47">
        <f t="shared" si="3"/>
        <v>46050</v>
      </c>
      <c r="AX8" s="47">
        <f t="shared" si="3"/>
        <v>46051</v>
      </c>
      <c r="AY8" s="47">
        <f t="shared" si="3"/>
        <v>46052</v>
      </c>
      <c r="AZ8" s="47">
        <f t="shared" ref="AZ8:BO9" si="4">AY8+$I$6</f>
        <v>46053</v>
      </c>
      <c r="BA8" s="47">
        <f t="shared" si="4"/>
        <v>46054</v>
      </c>
      <c r="BB8" s="47">
        <f t="shared" si="4"/>
        <v>46055</v>
      </c>
      <c r="BC8" s="47">
        <f t="shared" si="4"/>
        <v>46056</v>
      </c>
      <c r="BD8" s="47">
        <f t="shared" si="4"/>
        <v>46057</v>
      </c>
      <c r="BE8" s="47">
        <f t="shared" si="4"/>
        <v>46058</v>
      </c>
      <c r="BF8" s="47">
        <f t="shared" si="4"/>
        <v>46059</v>
      </c>
      <c r="BG8" s="47">
        <f t="shared" si="4"/>
        <v>46060</v>
      </c>
      <c r="BH8" s="47">
        <f t="shared" si="4"/>
        <v>46061</v>
      </c>
      <c r="BI8" s="47">
        <f t="shared" si="4"/>
        <v>46062</v>
      </c>
      <c r="BJ8" s="47">
        <f t="shared" si="4"/>
        <v>46063</v>
      </c>
      <c r="BK8" s="47">
        <f t="shared" si="4"/>
        <v>46064</v>
      </c>
      <c r="BL8" s="47">
        <f t="shared" si="4"/>
        <v>46065</v>
      </c>
      <c r="BM8" s="47">
        <f t="shared" si="4"/>
        <v>46066</v>
      </c>
      <c r="BN8" s="47">
        <f t="shared" si="4"/>
        <v>46067</v>
      </c>
      <c r="BO8" s="47">
        <f t="shared" si="4"/>
        <v>46068</v>
      </c>
      <c r="BP8" s="47">
        <f t="shared" ref="BP8:CE9" si="5">BO8+$I$6</f>
        <v>46069</v>
      </c>
      <c r="BQ8" s="47">
        <f t="shared" si="5"/>
        <v>46070</v>
      </c>
      <c r="BR8" s="47">
        <f t="shared" si="5"/>
        <v>46071</v>
      </c>
      <c r="BS8" s="47">
        <f t="shared" si="5"/>
        <v>46072</v>
      </c>
      <c r="BT8" s="47">
        <f t="shared" si="5"/>
        <v>46073</v>
      </c>
      <c r="BU8" s="47">
        <f t="shared" si="5"/>
        <v>46074</v>
      </c>
      <c r="BV8" s="47">
        <f t="shared" si="5"/>
        <v>46075</v>
      </c>
      <c r="BW8" s="47">
        <f t="shared" si="5"/>
        <v>46076</v>
      </c>
      <c r="BX8" s="47">
        <f t="shared" si="5"/>
        <v>46077</v>
      </c>
      <c r="BY8" s="47">
        <f t="shared" si="5"/>
        <v>46078</v>
      </c>
      <c r="BZ8" s="47">
        <f t="shared" si="5"/>
        <v>46079</v>
      </c>
      <c r="CA8" s="47">
        <f t="shared" si="5"/>
        <v>46080</v>
      </c>
      <c r="CB8" s="47">
        <f t="shared" si="5"/>
        <v>46081</v>
      </c>
      <c r="CC8" s="47">
        <f t="shared" si="5"/>
        <v>46082</v>
      </c>
      <c r="CD8" s="47">
        <f t="shared" si="5"/>
        <v>46083</v>
      </c>
      <c r="CE8" s="47">
        <f t="shared" si="5"/>
        <v>46084</v>
      </c>
      <c r="CF8" s="47">
        <f t="shared" ref="CF8:CU9" si="6">CE8+$I$6</f>
        <v>46085</v>
      </c>
      <c r="CG8" s="47">
        <f t="shared" si="6"/>
        <v>46086</v>
      </c>
      <c r="CH8" s="47">
        <f t="shared" si="6"/>
        <v>46087</v>
      </c>
      <c r="CI8" s="47">
        <f t="shared" si="6"/>
        <v>46088</v>
      </c>
      <c r="CJ8" s="47">
        <f t="shared" si="6"/>
        <v>46089</v>
      </c>
      <c r="CK8" s="47">
        <f t="shared" si="6"/>
        <v>46090</v>
      </c>
      <c r="CL8" s="47">
        <f t="shared" si="6"/>
        <v>46091</v>
      </c>
      <c r="CM8" s="47">
        <f t="shared" si="6"/>
        <v>46092</v>
      </c>
      <c r="CN8" s="47">
        <f t="shared" si="6"/>
        <v>46093</v>
      </c>
      <c r="CO8" s="47">
        <f t="shared" si="6"/>
        <v>46094</v>
      </c>
      <c r="CP8" s="47">
        <f t="shared" si="6"/>
        <v>46095</v>
      </c>
      <c r="CQ8" s="47">
        <f t="shared" si="6"/>
        <v>46096</v>
      </c>
      <c r="CR8" s="47">
        <f t="shared" si="6"/>
        <v>46097</v>
      </c>
      <c r="CS8" s="47">
        <f t="shared" si="6"/>
        <v>46098</v>
      </c>
      <c r="CT8" s="47">
        <f t="shared" si="6"/>
        <v>46099</v>
      </c>
      <c r="CU8" s="47">
        <f t="shared" si="6"/>
        <v>46100</v>
      </c>
      <c r="CV8" s="47">
        <f t="shared" ref="CV8:DK9" si="7">CU8+$I$6</f>
        <v>46101</v>
      </c>
      <c r="CW8" s="47">
        <f t="shared" si="7"/>
        <v>46102</v>
      </c>
      <c r="CX8" s="47">
        <f t="shared" si="7"/>
        <v>46103</v>
      </c>
      <c r="CY8" s="47">
        <f t="shared" si="7"/>
        <v>46104</v>
      </c>
      <c r="CZ8" s="47">
        <f t="shared" si="7"/>
        <v>46105</v>
      </c>
      <c r="DA8" s="47">
        <f t="shared" si="7"/>
        <v>46106</v>
      </c>
      <c r="DB8" s="47">
        <f t="shared" si="7"/>
        <v>46107</v>
      </c>
      <c r="DC8" s="47">
        <f t="shared" si="7"/>
        <v>46108</v>
      </c>
      <c r="DD8" s="47">
        <f t="shared" si="7"/>
        <v>46109</v>
      </c>
      <c r="DE8" s="47">
        <f t="shared" si="7"/>
        <v>46110</v>
      </c>
      <c r="DF8" s="47">
        <f t="shared" si="7"/>
        <v>46111</v>
      </c>
      <c r="DG8" s="47">
        <f t="shared" si="7"/>
        <v>46112</v>
      </c>
      <c r="DH8" s="47">
        <f t="shared" si="7"/>
        <v>46113</v>
      </c>
      <c r="DI8" s="47">
        <f t="shared" si="7"/>
        <v>46114</v>
      </c>
      <c r="DJ8" s="47">
        <f t="shared" si="7"/>
        <v>46115</v>
      </c>
      <c r="DK8" s="47">
        <f t="shared" si="7"/>
        <v>46116</v>
      </c>
      <c r="DL8" s="47">
        <f t="shared" ref="DL8:EA9" si="8">DK8+$I$6</f>
        <v>46117</v>
      </c>
      <c r="DM8" s="47">
        <f t="shared" si="8"/>
        <v>46118</v>
      </c>
      <c r="DN8" s="47">
        <f t="shared" si="8"/>
        <v>46119</v>
      </c>
      <c r="DO8" s="47">
        <f t="shared" si="8"/>
        <v>46120</v>
      </c>
      <c r="DP8" s="47">
        <f t="shared" si="8"/>
        <v>46121</v>
      </c>
      <c r="DQ8" s="47">
        <f t="shared" si="8"/>
        <v>46122</v>
      </c>
      <c r="DR8" s="47">
        <f t="shared" si="8"/>
        <v>46123</v>
      </c>
      <c r="DS8" s="47">
        <f t="shared" si="8"/>
        <v>46124</v>
      </c>
      <c r="DT8" s="47">
        <f t="shared" si="8"/>
        <v>46125</v>
      </c>
      <c r="DU8" s="47">
        <f t="shared" si="8"/>
        <v>46126</v>
      </c>
      <c r="DV8" s="47">
        <f t="shared" si="8"/>
        <v>46127</v>
      </c>
      <c r="DW8" s="47">
        <f t="shared" si="8"/>
        <v>46128</v>
      </c>
      <c r="DX8" s="47">
        <f t="shared" si="8"/>
        <v>46129</v>
      </c>
      <c r="DY8" s="47">
        <f t="shared" si="8"/>
        <v>46130</v>
      </c>
      <c r="DZ8" s="47">
        <f t="shared" si="8"/>
        <v>46131</v>
      </c>
      <c r="EA8" s="47">
        <f t="shared" si="8"/>
        <v>46132</v>
      </c>
      <c r="EB8" s="47">
        <f t="shared" ref="EB8:EH9" si="9">EA8+$I$6</f>
        <v>46133</v>
      </c>
      <c r="EC8" s="47">
        <f t="shared" si="9"/>
        <v>46134</v>
      </c>
      <c r="ED8" s="47">
        <f t="shared" si="9"/>
        <v>46135</v>
      </c>
      <c r="EE8" s="47">
        <f t="shared" si="9"/>
        <v>46136</v>
      </c>
      <c r="EF8" s="47">
        <f t="shared" si="9"/>
        <v>46137</v>
      </c>
      <c r="EG8" s="47">
        <f t="shared" si="9"/>
        <v>46138</v>
      </c>
      <c r="EH8" s="47">
        <f t="shared" si="9"/>
        <v>46139</v>
      </c>
    </row>
    <row r="9" spans="2:138" s="9" customFormat="1" ht="23.1" customHeight="1" thickBot="1">
      <c r="B9" s="22" t="s">
        <v>28</v>
      </c>
      <c r="C9" s="192" t="s">
        <v>1</v>
      </c>
      <c r="D9" s="192"/>
      <c r="E9" s="22" t="s">
        <v>29</v>
      </c>
      <c r="F9" s="22" t="s">
        <v>3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3" t="s">
        <v>40</v>
      </c>
      <c r="R9" s="10" t="s">
        <v>41</v>
      </c>
      <c r="S9" s="32">
        <f>$G$6-WEEKDAY($G$6,1)+INDEX({1;2;3;4;5;6;7},MATCH($D$6,{"일요일";"월요일";"화요일";"수요일";"목요일";"금요일";"토요일"},0))</f>
        <v>46020</v>
      </c>
      <c r="T9" s="32">
        <f t="shared" si="2"/>
        <v>46021</v>
      </c>
      <c r="U9" s="32">
        <f t="shared" si="2"/>
        <v>46022</v>
      </c>
      <c r="V9" s="32">
        <f t="shared" si="2"/>
        <v>46023</v>
      </c>
      <c r="W9" s="32">
        <f t="shared" si="2"/>
        <v>46024</v>
      </c>
      <c r="X9" s="32">
        <f t="shared" si="2"/>
        <v>46025</v>
      </c>
      <c r="Y9" s="32">
        <f t="shared" si="2"/>
        <v>46026</v>
      </c>
      <c r="Z9" s="32">
        <f t="shared" si="2"/>
        <v>46027</v>
      </c>
      <c r="AA9" s="32">
        <f t="shared" si="2"/>
        <v>46028</v>
      </c>
      <c r="AB9" s="32">
        <f t="shared" si="2"/>
        <v>46029</v>
      </c>
      <c r="AC9" s="32">
        <f t="shared" si="2"/>
        <v>46030</v>
      </c>
      <c r="AD9" s="32">
        <f t="shared" si="2"/>
        <v>46031</v>
      </c>
      <c r="AE9" s="32">
        <f t="shared" si="2"/>
        <v>46032</v>
      </c>
      <c r="AF9" s="32">
        <f t="shared" si="2"/>
        <v>46033</v>
      </c>
      <c r="AG9" s="32">
        <f t="shared" si="2"/>
        <v>46034</v>
      </c>
      <c r="AH9" s="32">
        <f t="shared" si="2"/>
        <v>46035</v>
      </c>
      <c r="AI9" s="32">
        <f t="shared" si="2"/>
        <v>46036</v>
      </c>
      <c r="AJ9" s="32">
        <f t="shared" si="3"/>
        <v>46037</v>
      </c>
      <c r="AK9" s="32">
        <f t="shared" si="3"/>
        <v>46038</v>
      </c>
      <c r="AL9" s="32">
        <f t="shared" si="3"/>
        <v>46039</v>
      </c>
      <c r="AM9" s="32">
        <f t="shared" si="3"/>
        <v>46040</v>
      </c>
      <c r="AN9" s="32">
        <f t="shared" si="3"/>
        <v>46041</v>
      </c>
      <c r="AO9" s="32">
        <f t="shared" si="3"/>
        <v>46042</v>
      </c>
      <c r="AP9" s="32">
        <f t="shared" si="3"/>
        <v>46043</v>
      </c>
      <c r="AQ9" s="32">
        <f t="shared" si="3"/>
        <v>46044</v>
      </c>
      <c r="AR9" s="32">
        <f t="shared" si="3"/>
        <v>46045</v>
      </c>
      <c r="AS9" s="32">
        <f t="shared" si="3"/>
        <v>46046</v>
      </c>
      <c r="AT9" s="32">
        <f t="shared" si="3"/>
        <v>46047</v>
      </c>
      <c r="AU9" s="32">
        <f t="shared" si="3"/>
        <v>46048</v>
      </c>
      <c r="AV9" s="32">
        <f t="shared" si="3"/>
        <v>46049</v>
      </c>
      <c r="AW9" s="32">
        <f t="shared" si="3"/>
        <v>46050</v>
      </c>
      <c r="AX9" s="32">
        <f t="shared" si="3"/>
        <v>46051</v>
      </c>
      <c r="AY9" s="32">
        <f t="shared" si="3"/>
        <v>46052</v>
      </c>
      <c r="AZ9" s="32">
        <f t="shared" si="4"/>
        <v>46053</v>
      </c>
      <c r="BA9" s="32">
        <f t="shared" si="4"/>
        <v>46054</v>
      </c>
      <c r="BB9" s="32">
        <f t="shared" si="4"/>
        <v>46055</v>
      </c>
      <c r="BC9" s="32">
        <f t="shared" si="4"/>
        <v>46056</v>
      </c>
      <c r="BD9" s="32">
        <f t="shared" si="4"/>
        <v>46057</v>
      </c>
      <c r="BE9" s="32">
        <f t="shared" si="4"/>
        <v>46058</v>
      </c>
      <c r="BF9" s="32">
        <f t="shared" si="4"/>
        <v>46059</v>
      </c>
      <c r="BG9" s="32">
        <f t="shared" si="4"/>
        <v>46060</v>
      </c>
      <c r="BH9" s="32">
        <f t="shared" si="4"/>
        <v>46061</v>
      </c>
      <c r="BI9" s="32">
        <f t="shared" si="4"/>
        <v>46062</v>
      </c>
      <c r="BJ9" s="32">
        <f t="shared" si="4"/>
        <v>46063</v>
      </c>
      <c r="BK9" s="32">
        <f t="shared" si="4"/>
        <v>46064</v>
      </c>
      <c r="BL9" s="32">
        <f t="shared" si="4"/>
        <v>46065</v>
      </c>
      <c r="BM9" s="32">
        <f t="shared" si="4"/>
        <v>46066</v>
      </c>
      <c r="BN9" s="32">
        <f t="shared" si="4"/>
        <v>46067</v>
      </c>
      <c r="BO9" s="32">
        <f t="shared" si="4"/>
        <v>46068</v>
      </c>
      <c r="BP9" s="32">
        <f t="shared" si="5"/>
        <v>46069</v>
      </c>
      <c r="BQ9" s="32">
        <f t="shared" si="5"/>
        <v>46070</v>
      </c>
      <c r="BR9" s="32">
        <f t="shared" si="5"/>
        <v>46071</v>
      </c>
      <c r="BS9" s="32">
        <f t="shared" si="5"/>
        <v>46072</v>
      </c>
      <c r="BT9" s="32">
        <f t="shared" si="5"/>
        <v>46073</v>
      </c>
      <c r="BU9" s="32">
        <f t="shared" si="5"/>
        <v>46074</v>
      </c>
      <c r="BV9" s="32">
        <f t="shared" si="5"/>
        <v>46075</v>
      </c>
      <c r="BW9" s="32">
        <f t="shared" si="5"/>
        <v>46076</v>
      </c>
      <c r="BX9" s="32">
        <f t="shared" si="5"/>
        <v>46077</v>
      </c>
      <c r="BY9" s="32">
        <f t="shared" si="5"/>
        <v>46078</v>
      </c>
      <c r="BZ9" s="32">
        <f t="shared" si="5"/>
        <v>46079</v>
      </c>
      <c r="CA9" s="32">
        <f t="shared" si="5"/>
        <v>46080</v>
      </c>
      <c r="CB9" s="32">
        <f t="shared" si="5"/>
        <v>46081</v>
      </c>
      <c r="CC9" s="32">
        <f t="shared" si="5"/>
        <v>46082</v>
      </c>
      <c r="CD9" s="32">
        <f t="shared" si="5"/>
        <v>46083</v>
      </c>
      <c r="CE9" s="32">
        <f t="shared" si="5"/>
        <v>46084</v>
      </c>
      <c r="CF9" s="32">
        <f t="shared" si="6"/>
        <v>46085</v>
      </c>
      <c r="CG9" s="32">
        <f t="shared" si="6"/>
        <v>46086</v>
      </c>
      <c r="CH9" s="32">
        <f t="shared" si="6"/>
        <v>46087</v>
      </c>
      <c r="CI9" s="32">
        <f t="shared" si="6"/>
        <v>46088</v>
      </c>
      <c r="CJ9" s="32">
        <f t="shared" si="6"/>
        <v>46089</v>
      </c>
      <c r="CK9" s="32">
        <f t="shared" si="6"/>
        <v>46090</v>
      </c>
      <c r="CL9" s="32">
        <f t="shared" si="6"/>
        <v>46091</v>
      </c>
      <c r="CM9" s="32">
        <f t="shared" si="6"/>
        <v>46092</v>
      </c>
      <c r="CN9" s="32">
        <f t="shared" si="6"/>
        <v>46093</v>
      </c>
      <c r="CO9" s="32">
        <f t="shared" si="6"/>
        <v>46094</v>
      </c>
      <c r="CP9" s="32">
        <f t="shared" si="6"/>
        <v>46095</v>
      </c>
      <c r="CQ9" s="32">
        <f t="shared" si="6"/>
        <v>46096</v>
      </c>
      <c r="CR9" s="32">
        <f t="shared" si="6"/>
        <v>46097</v>
      </c>
      <c r="CS9" s="32">
        <f t="shared" si="6"/>
        <v>46098</v>
      </c>
      <c r="CT9" s="32">
        <f t="shared" si="6"/>
        <v>46099</v>
      </c>
      <c r="CU9" s="32">
        <f t="shared" si="6"/>
        <v>46100</v>
      </c>
      <c r="CV9" s="32">
        <f t="shared" si="7"/>
        <v>46101</v>
      </c>
      <c r="CW9" s="32">
        <f t="shared" si="7"/>
        <v>46102</v>
      </c>
      <c r="CX9" s="32">
        <f t="shared" si="7"/>
        <v>46103</v>
      </c>
      <c r="CY9" s="32">
        <f t="shared" si="7"/>
        <v>46104</v>
      </c>
      <c r="CZ9" s="32">
        <f t="shared" si="7"/>
        <v>46105</v>
      </c>
      <c r="DA9" s="32">
        <f t="shared" si="7"/>
        <v>46106</v>
      </c>
      <c r="DB9" s="32">
        <f t="shared" si="7"/>
        <v>46107</v>
      </c>
      <c r="DC9" s="32">
        <f t="shared" si="7"/>
        <v>46108</v>
      </c>
      <c r="DD9" s="32">
        <f t="shared" si="7"/>
        <v>46109</v>
      </c>
      <c r="DE9" s="32">
        <f t="shared" si="7"/>
        <v>46110</v>
      </c>
      <c r="DF9" s="32">
        <f t="shared" si="7"/>
        <v>46111</v>
      </c>
      <c r="DG9" s="32">
        <f t="shared" si="7"/>
        <v>46112</v>
      </c>
      <c r="DH9" s="32">
        <f t="shared" si="7"/>
        <v>46113</v>
      </c>
      <c r="DI9" s="32">
        <f t="shared" si="7"/>
        <v>46114</v>
      </c>
      <c r="DJ9" s="32">
        <f t="shared" si="7"/>
        <v>46115</v>
      </c>
      <c r="DK9" s="32">
        <f t="shared" si="7"/>
        <v>46116</v>
      </c>
      <c r="DL9" s="32">
        <f t="shared" si="8"/>
        <v>46117</v>
      </c>
      <c r="DM9" s="32">
        <f t="shared" si="8"/>
        <v>46118</v>
      </c>
      <c r="DN9" s="32">
        <f t="shared" si="8"/>
        <v>46119</v>
      </c>
      <c r="DO9" s="32">
        <f t="shared" si="8"/>
        <v>46120</v>
      </c>
      <c r="DP9" s="32">
        <f t="shared" si="8"/>
        <v>46121</v>
      </c>
      <c r="DQ9" s="32">
        <f t="shared" si="8"/>
        <v>46122</v>
      </c>
      <c r="DR9" s="32">
        <f t="shared" si="8"/>
        <v>46123</v>
      </c>
      <c r="DS9" s="32">
        <f t="shared" si="8"/>
        <v>46124</v>
      </c>
      <c r="DT9" s="32">
        <f t="shared" si="8"/>
        <v>46125</v>
      </c>
      <c r="DU9" s="32">
        <f t="shared" si="8"/>
        <v>46126</v>
      </c>
      <c r="DV9" s="32">
        <f t="shared" si="8"/>
        <v>46127</v>
      </c>
      <c r="DW9" s="32">
        <f t="shared" si="8"/>
        <v>46128</v>
      </c>
      <c r="DX9" s="32">
        <f t="shared" si="8"/>
        <v>46129</v>
      </c>
      <c r="DY9" s="32">
        <f t="shared" si="8"/>
        <v>46130</v>
      </c>
      <c r="DZ9" s="32">
        <f t="shared" si="8"/>
        <v>46131</v>
      </c>
      <c r="EA9" s="32">
        <f t="shared" si="8"/>
        <v>46132</v>
      </c>
      <c r="EB9" s="32">
        <f t="shared" si="9"/>
        <v>46133</v>
      </c>
      <c r="EC9" s="32">
        <f t="shared" si="9"/>
        <v>46134</v>
      </c>
      <c r="ED9" s="32">
        <f t="shared" si="9"/>
        <v>46135</v>
      </c>
      <c r="EE9" s="32">
        <f t="shared" si="9"/>
        <v>46136</v>
      </c>
      <c r="EF9" s="32">
        <f t="shared" si="9"/>
        <v>46137</v>
      </c>
      <c r="EG9" s="32">
        <f t="shared" si="9"/>
        <v>46138</v>
      </c>
      <c r="EH9" s="32">
        <f t="shared" si="9"/>
        <v>46139</v>
      </c>
    </row>
    <row r="10" spans="2:138" s="11" customFormat="1" ht="24.95" customHeight="1">
      <c r="B10" s="43">
        <v>1</v>
      </c>
      <c r="C10" s="65" t="s">
        <v>9</v>
      </c>
      <c r="D10" s="65"/>
      <c r="E10" s="87" t="s">
        <v>42</v>
      </c>
      <c r="F10" s="33">
        <f>MIN(F11:F17)</f>
        <v>0</v>
      </c>
      <c r="G10" s="33">
        <f>MAX(G11:G17)</f>
        <v>0</v>
      </c>
      <c r="H10" s="35" t="str">
        <f>IF(F10=0,"",G10-F10+1)</f>
        <v/>
      </c>
      <c r="I10" s="59" t="str">
        <f>IFERROR(SUMPRODUCT(H11:H17,I11:I17)/SUM(H11:H17),"")</f>
        <v/>
      </c>
      <c r="J10" s="33">
        <f>IF(MAX(J11:J17)="","",MAX(J11:J17))</f>
        <v>0</v>
      </c>
      <c r="K10" s="24">
        <f>J10-F10+1</f>
        <v>1</v>
      </c>
      <c r="L10" s="33"/>
      <c r="M10" s="35">
        <f>NETWORKDAYS(F10,G10)</f>
        <v>0</v>
      </c>
      <c r="N10" s="35">
        <f>NETWORKDAYS(F10,J10)</f>
        <v>0</v>
      </c>
      <c r="O10" s="35" t="str">
        <f>IFERROR(ROUNDDOWN(I10*H10,0),"")</f>
        <v/>
      </c>
      <c r="P10" s="35" t="str">
        <f>IFERROR(ROUNDDOWN(I10*K10,0),"")</f>
        <v/>
      </c>
      <c r="Q10" s="40" t="str">
        <f>IFERROR(H10-O10,"")</f>
        <v/>
      </c>
      <c r="R10" s="12" t="e">
        <f>K10-P10</f>
        <v>#VALUE!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2:138" s="11" customFormat="1" ht="22.35" customHeight="1">
      <c r="B11" s="45">
        <v>1.1000000000000001</v>
      </c>
      <c r="C11" s="63" t="s">
        <v>43</v>
      </c>
      <c r="D11" s="66"/>
      <c r="E11" s="25"/>
      <c r="F11" s="51"/>
      <c r="G11" s="51"/>
      <c r="H11" s="36" t="str">
        <f t="shared" ref="H11:H17" si="10">IF(F11="","",G11-F11+1)</f>
        <v/>
      </c>
      <c r="I11" s="58">
        <v>0</v>
      </c>
      <c r="J11" s="86">
        <f>G11</f>
        <v>0</v>
      </c>
      <c r="K11" s="37" t="str">
        <f t="shared" ref="K11:K17" si="11">IF(F11="","",J11-F11+1)</f>
        <v/>
      </c>
      <c r="L11" s="69" t="str">
        <f>IF(J11&gt;G11,J11-G11,"")</f>
        <v/>
      </c>
      <c r="M11" s="39">
        <f>NETWORKDAYS(F11,G11)</f>
        <v>0</v>
      </c>
      <c r="N11" s="39">
        <f>NETWORKDAYS(F11,J11)</f>
        <v>0</v>
      </c>
      <c r="O11" s="41" t="str">
        <f>IFERROR(ROUNDDOWN(I11*H11,0),"")</f>
        <v/>
      </c>
      <c r="P11" s="39" t="str">
        <f>IFERROR(ROUNDDOWN(I11*K11,0),"")</f>
        <v/>
      </c>
      <c r="Q11" s="52" t="str">
        <f>IFERROR(K11-P11,"")</f>
        <v/>
      </c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</row>
    <row r="12" spans="2:138" s="11" customFormat="1" ht="22.35" customHeight="1">
      <c r="B12" s="46">
        <v>1.2</v>
      </c>
      <c r="C12" s="62" t="s">
        <v>44</v>
      </c>
      <c r="D12" s="64"/>
      <c r="E12" s="25"/>
      <c r="F12" s="51"/>
      <c r="G12" s="51"/>
      <c r="H12" s="37" t="str">
        <f t="shared" si="10"/>
        <v/>
      </c>
      <c r="I12" s="58">
        <v>0</v>
      </c>
      <c r="J12" s="86">
        <f t="shared" ref="J12:J17" si="12">G12</f>
        <v>0</v>
      </c>
      <c r="K12" s="37" t="str">
        <f t="shared" si="11"/>
        <v/>
      </c>
      <c r="L12" s="69" t="str">
        <f t="shared" ref="L12:L32" si="13">IF(J12&gt;G12,J12-G12,"")</f>
        <v/>
      </c>
      <c r="M12" s="39">
        <f>NETWORKDAYS(F12,G12)</f>
        <v>0</v>
      </c>
      <c r="N12" s="39">
        <f>NETWORKDAYS(F12,J12)</f>
        <v>0</v>
      </c>
      <c r="O12" s="41" t="str">
        <f>IFERROR(ROUNDDOWN(I12*H12,0),"")</f>
        <v/>
      </c>
      <c r="P12" s="39" t="str">
        <f>IFERROR(ROUNDDOWN(I12*K12,0),"")</f>
        <v/>
      </c>
      <c r="Q12" s="52" t="str">
        <f>IFERROR(K12-P12,"")</f>
        <v/>
      </c>
      <c r="R12" s="16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</row>
    <row r="13" spans="2:138" s="11" customFormat="1" ht="22.35" customHeight="1">
      <c r="B13" s="45">
        <v>1.3000000000000009</v>
      </c>
      <c r="C13" s="62" t="s">
        <v>45</v>
      </c>
      <c r="D13" s="64"/>
      <c r="E13" s="25"/>
      <c r="F13" s="51"/>
      <c r="G13" s="51"/>
      <c r="H13" s="37" t="str">
        <f t="shared" si="10"/>
        <v/>
      </c>
      <c r="I13" s="58">
        <v>0</v>
      </c>
      <c r="J13" s="86">
        <f t="shared" si="12"/>
        <v>0</v>
      </c>
      <c r="K13" s="37" t="str">
        <f t="shared" si="11"/>
        <v/>
      </c>
      <c r="L13" s="69" t="str">
        <f t="shared" si="13"/>
        <v/>
      </c>
      <c r="M13" s="39">
        <f t="shared" ref="M13:M17" si="14">NETWORKDAYS(F13,G13)</f>
        <v>0</v>
      </c>
      <c r="N13" s="39">
        <f t="shared" ref="N13:N17" si="15">NETWORKDAYS(F13,J13)</f>
        <v>0</v>
      </c>
      <c r="O13" s="41" t="str">
        <f t="shared" ref="O13:O17" si="16">IFERROR(ROUNDDOWN(I13*H13,0),"")</f>
        <v/>
      </c>
      <c r="P13" s="39" t="str">
        <f t="shared" ref="P13:P17" si="17">IFERROR(ROUNDDOWN(I13*K13,0),"")</f>
        <v/>
      </c>
      <c r="Q13" s="52" t="str">
        <f t="shared" ref="Q13:Q17" si="18">IFERROR(K13-P13,"")</f>
        <v/>
      </c>
      <c r="R13" s="1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</row>
    <row r="14" spans="2:138" s="11" customFormat="1" ht="22.35" customHeight="1">
      <c r="B14" s="46">
        <v>1.4000000000000017</v>
      </c>
      <c r="C14" s="62" t="s">
        <v>72</v>
      </c>
      <c r="D14" s="64"/>
      <c r="E14" s="25"/>
      <c r="F14" s="51"/>
      <c r="G14" s="51"/>
      <c r="H14" s="37" t="str">
        <f t="shared" si="10"/>
        <v/>
      </c>
      <c r="I14" s="58">
        <v>0</v>
      </c>
      <c r="J14" s="86">
        <f t="shared" si="12"/>
        <v>0</v>
      </c>
      <c r="K14" s="37" t="str">
        <f t="shared" si="11"/>
        <v/>
      </c>
      <c r="L14" s="69" t="str">
        <f t="shared" si="13"/>
        <v/>
      </c>
      <c r="M14" s="39">
        <f t="shared" si="14"/>
        <v>0</v>
      </c>
      <c r="N14" s="39">
        <f t="shared" si="15"/>
        <v>0</v>
      </c>
      <c r="O14" s="41" t="str">
        <f t="shared" si="16"/>
        <v/>
      </c>
      <c r="P14" s="39" t="str">
        <f t="shared" si="17"/>
        <v/>
      </c>
      <c r="Q14" s="52" t="str">
        <f t="shared" si="18"/>
        <v/>
      </c>
      <c r="R14" s="16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</row>
    <row r="15" spans="2:138" s="11" customFormat="1" ht="22.35" customHeight="1">
      <c r="B15" s="45">
        <v>1.5000000000000027</v>
      </c>
      <c r="C15" s="62" t="s">
        <v>101</v>
      </c>
      <c r="D15" s="64"/>
      <c r="E15" s="25"/>
      <c r="F15" s="51"/>
      <c r="G15" s="51"/>
      <c r="H15" s="37" t="str">
        <f t="shared" si="10"/>
        <v/>
      </c>
      <c r="I15" s="58">
        <v>0</v>
      </c>
      <c r="J15" s="86">
        <f t="shared" si="12"/>
        <v>0</v>
      </c>
      <c r="K15" s="37" t="str">
        <f t="shared" si="11"/>
        <v/>
      </c>
      <c r="L15" s="69" t="str">
        <f t="shared" si="13"/>
        <v/>
      </c>
      <c r="M15" s="39">
        <f t="shared" si="14"/>
        <v>0</v>
      </c>
      <c r="N15" s="39">
        <f t="shared" si="15"/>
        <v>0</v>
      </c>
      <c r="O15" s="41" t="str">
        <f t="shared" si="16"/>
        <v/>
      </c>
      <c r="P15" s="39" t="str">
        <f t="shared" si="17"/>
        <v/>
      </c>
      <c r="Q15" s="52" t="str">
        <f t="shared" si="18"/>
        <v/>
      </c>
      <c r="R15" s="16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</row>
    <row r="16" spans="2:138" s="11" customFormat="1" ht="22.35" customHeight="1">
      <c r="B16" s="46">
        <v>1.6000000000000034</v>
      </c>
      <c r="C16" s="62" t="s">
        <v>47</v>
      </c>
      <c r="D16" s="64"/>
      <c r="E16" s="25"/>
      <c r="F16" s="51"/>
      <c r="G16" s="51"/>
      <c r="H16" s="37" t="str">
        <f t="shared" si="10"/>
        <v/>
      </c>
      <c r="I16" s="58">
        <v>0</v>
      </c>
      <c r="J16" s="86">
        <f t="shared" si="12"/>
        <v>0</v>
      </c>
      <c r="K16" s="37" t="str">
        <f t="shared" si="11"/>
        <v/>
      </c>
      <c r="L16" s="69" t="str">
        <f t="shared" si="13"/>
        <v/>
      </c>
      <c r="M16" s="39">
        <f t="shared" si="14"/>
        <v>0</v>
      </c>
      <c r="N16" s="39">
        <f t="shared" si="15"/>
        <v>0</v>
      </c>
      <c r="O16" s="41" t="str">
        <f t="shared" si="16"/>
        <v/>
      </c>
      <c r="P16" s="39" t="str">
        <f t="shared" si="17"/>
        <v/>
      </c>
      <c r="Q16" s="52" t="str">
        <f t="shared" si="18"/>
        <v/>
      </c>
      <c r="R16" s="16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</row>
    <row r="17" spans="2:138" s="11" customFormat="1" ht="22.35" customHeight="1">
      <c r="B17" s="45">
        <v>1.7000000000000042</v>
      </c>
      <c r="C17" s="79" t="s">
        <v>102</v>
      </c>
      <c r="D17" s="80"/>
      <c r="E17" s="81"/>
      <c r="F17" s="51"/>
      <c r="G17" s="73"/>
      <c r="H17" s="82" t="str">
        <f t="shared" si="10"/>
        <v/>
      </c>
      <c r="I17" s="75">
        <v>0</v>
      </c>
      <c r="J17" s="86">
        <f t="shared" si="12"/>
        <v>0</v>
      </c>
      <c r="K17" s="82" t="str">
        <f t="shared" si="11"/>
        <v/>
      </c>
      <c r="L17" s="76" t="str">
        <f t="shared" si="13"/>
        <v/>
      </c>
      <c r="M17" s="83">
        <f t="shared" si="14"/>
        <v>0</v>
      </c>
      <c r="N17" s="83">
        <f t="shared" si="15"/>
        <v>0</v>
      </c>
      <c r="O17" s="84" t="str">
        <f t="shared" si="16"/>
        <v/>
      </c>
      <c r="P17" s="83" t="str">
        <f t="shared" si="17"/>
        <v/>
      </c>
      <c r="Q17" s="85" t="str">
        <f t="shared" si="18"/>
        <v/>
      </c>
      <c r="R17" s="16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</row>
    <row r="18" spans="2:138" s="11" customFormat="1" ht="24.95" customHeight="1">
      <c r="B18" s="44">
        <v>2</v>
      </c>
      <c r="C18" s="67" t="s">
        <v>10</v>
      </c>
      <c r="D18" s="67"/>
      <c r="E18" s="88" t="s">
        <v>42</v>
      </c>
      <c r="F18" s="34">
        <f>MIN(F19:F25)</f>
        <v>0</v>
      </c>
      <c r="G18" s="34">
        <f>MAX(G19:G25)</f>
        <v>0</v>
      </c>
      <c r="H18" s="38" t="str">
        <f>IF(F18=0,"",G18-F18+1)</f>
        <v/>
      </c>
      <c r="I18" s="60" t="str">
        <f>IFERROR(SUMPRODUCT(H19:H25,I19:I25)/SUM(H19:H25),"")</f>
        <v/>
      </c>
      <c r="J18" s="34">
        <f>IF(MAX(J19:J25)="","",MAX(J19:J25))</f>
        <v>0</v>
      </c>
      <c r="K18" s="26">
        <f>J18-F18+1</f>
        <v>1</v>
      </c>
      <c r="L18" s="34"/>
      <c r="M18" s="38">
        <f>NETWORKDAYS(F18,G18)</f>
        <v>0</v>
      </c>
      <c r="N18" s="38">
        <f>NETWORKDAYS(F18,J18)</f>
        <v>0</v>
      </c>
      <c r="O18" s="38" t="str">
        <f>IFERROR(ROUNDDOWN(I18*H18,0),"")</f>
        <v/>
      </c>
      <c r="P18" s="38" t="str">
        <f>IFERROR(ROUNDDOWN(I18*K18,0),"")</f>
        <v/>
      </c>
      <c r="Q18" s="42" t="str">
        <f>IFERROR(H18-O18,"")</f>
        <v/>
      </c>
      <c r="R18" s="18" t="e">
        <f>K18-P18</f>
        <v>#VALUE!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</row>
    <row r="19" spans="2:138" s="11" customFormat="1" ht="22.35" customHeight="1">
      <c r="B19" s="45">
        <v>2.1</v>
      </c>
      <c r="C19" s="63" t="s">
        <v>103</v>
      </c>
      <c r="D19" s="66"/>
      <c r="E19" s="25"/>
      <c r="F19" s="51"/>
      <c r="G19" s="51"/>
      <c r="H19" s="36" t="str">
        <f t="shared" ref="H19:H25" si="19">IF(F19="","",G19-F19+1)</f>
        <v/>
      </c>
      <c r="I19" s="58">
        <v>0</v>
      </c>
      <c r="J19" s="86">
        <f>G19</f>
        <v>0</v>
      </c>
      <c r="K19" s="37" t="str">
        <f>IF(F19="","",J19-F19+1)</f>
        <v/>
      </c>
      <c r="L19" s="69" t="str">
        <f t="shared" si="13"/>
        <v/>
      </c>
      <c r="M19" s="39">
        <f t="shared" ref="M19:M25" si="20">NETWORKDAYS(F19,G19)</f>
        <v>0</v>
      </c>
      <c r="N19" s="39">
        <f t="shared" ref="N19:N25" si="21">NETWORKDAYS(F19,J19)</f>
        <v>0</v>
      </c>
      <c r="O19" s="41" t="str">
        <f t="shared" ref="O19:O25" si="22">IFERROR(ROUNDDOWN(I19*H19,0),"")</f>
        <v/>
      </c>
      <c r="P19" s="39" t="str">
        <f t="shared" ref="P19:P25" si="23">IFERROR(ROUNDDOWN(I19*K19,0),"")</f>
        <v/>
      </c>
      <c r="Q19" s="52" t="str">
        <f t="shared" ref="Q19:Q25" si="24">IFERROR(K19-P19,"")</f>
        <v/>
      </c>
      <c r="R19" s="1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</row>
    <row r="20" spans="2:138" s="11" customFormat="1" ht="22.35" customHeight="1">
      <c r="B20" s="46">
        <v>2.2000000000000002</v>
      </c>
      <c r="C20" s="70" t="s">
        <v>104</v>
      </c>
      <c r="D20" s="68"/>
      <c r="E20" s="25"/>
      <c r="F20" s="51"/>
      <c r="G20" s="51"/>
      <c r="H20" s="36" t="str">
        <f t="shared" si="19"/>
        <v/>
      </c>
      <c r="I20" s="58">
        <v>0</v>
      </c>
      <c r="J20" s="86">
        <f t="shared" ref="J20:J25" si="25">G20</f>
        <v>0</v>
      </c>
      <c r="K20" s="37" t="str">
        <f t="shared" ref="K20:K25" si="26">IF(F20="","",J20-F20+1)</f>
        <v/>
      </c>
      <c r="L20" s="69"/>
      <c r="M20" s="39"/>
      <c r="N20" s="39">
        <f t="shared" si="21"/>
        <v>0</v>
      </c>
      <c r="O20" s="41" t="str">
        <f t="shared" si="22"/>
        <v/>
      </c>
      <c r="P20" s="39" t="str">
        <f t="shared" si="23"/>
        <v/>
      </c>
      <c r="Q20" s="52" t="str">
        <f t="shared" si="24"/>
        <v/>
      </c>
      <c r="R20" s="16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</row>
    <row r="21" spans="2:138" s="11" customFormat="1" ht="22.35" customHeight="1">
      <c r="B21" s="45">
        <v>2.2999999999999998</v>
      </c>
      <c r="C21" s="70" t="s">
        <v>105</v>
      </c>
      <c r="D21" s="68"/>
      <c r="E21" s="25"/>
      <c r="F21" s="51"/>
      <c r="G21" s="51"/>
      <c r="H21" s="36" t="str">
        <f t="shared" si="19"/>
        <v/>
      </c>
      <c r="I21" s="58">
        <v>0</v>
      </c>
      <c r="J21" s="86">
        <f t="shared" si="25"/>
        <v>0</v>
      </c>
      <c r="K21" s="37" t="str">
        <f t="shared" si="26"/>
        <v/>
      </c>
      <c r="L21" s="69"/>
      <c r="M21" s="39"/>
      <c r="N21" s="39">
        <f t="shared" si="21"/>
        <v>0</v>
      </c>
      <c r="O21" s="41" t="str">
        <f t="shared" si="22"/>
        <v/>
      </c>
      <c r="P21" s="39" t="str">
        <f t="shared" si="23"/>
        <v/>
      </c>
      <c r="Q21" s="52" t="str">
        <f t="shared" si="24"/>
        <v/>
      </c>
      <c r="R21" s="16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</row>
    <row r="22" spans="2:138" s="11" customFormat="1" ht="22.35" customHeight="1">
      <c r="B22" s="46">
        <v>2.4</v>
      </c>
      <c r="C22" s="89" t="s">
        <v>106</v>
      </c>
      <c r="D22" s="64"/>
      <c r="E22" s="25"/>
      <c r="F22" s="51"/>
      <c r="G22" s="51"/>
      <c r="H22" s="37" t="str">
        <f t="shared" si="19"/>
        <v/>
      </c>
      <c r="I22" s="58">
        <v>0</v>
      </c>
      <c r="J22" s="86">
        <f t="shared" si="25"/>
        <v>0</v>
      </c>
      <c r="K22" s="37" t="str">
        <f t="shared" si="26"/>
        <v/>
      </c>
      <c r="L22" s="69" t="str">
        <f t="shared" si="13"/>
        <v/>
      </c>
      <c r="M22" s="39">
        <f t="shared" si="20"/>
        <v>0</v>
      </c>
      <c r="N22" s="39">
        <f t="shared" si="21"/>
        <v>0</v>
      </c>
      <c r="O22" s="41" t="str">
        <f t="shared" si="22"/>
        <v/>
      </c>
      <c r="P22" s="39" t="str">
        <f t="shared" si="23"/>
        <v/>
      </c>
      <c r="Q22" s="52" t="str">
        <f t="shared" si="24"/>
        <v/>
      </c>
      <c r="R22" s="16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</row>
    <row r="23" spans="2:138" s="11" customFormat="1" ht="22.35" customHeight="1">
      <c r="B23" s="45">
        <v>2.5</v>
      </c>
      <c r="C23" s="62" t="s">
        <v>79</v>
      </c>
      <c r="D23" s="64"/>
      <c r="E23" s="25"/>
      <c r="F23" s="51"/>
      <c r="G23" s="51"/>
      <c r="H23" s="37" t="str">
        <f t="shared" si="19"/>
        <v/>
      </c>
      <c r="I23" s="58">
        <v>0</v>
      </c>
      <c r="J23" s="86">
        <f t="shared" si="25"/>
        <v>0</v>
      </c>
      <c r="K23" s="37" t="str">
        <f t="shared" si="26"/>
        <v/>
      </c>
      <c r="L23" s="69" t="str">
        <f t="shared" si="13"/>
        <v/>
      </c>
      <c r="M23" s="39">
        <f t="shared" si="20"/>
        <v>0</v>
      </c>
      <c r="N23" s="39">
        <f t="shared" si="21"/>
        <v>0</v>
      </c>
      <c r="O23" s="41" t="str">
        <f t="shared" si="22"/>
        <v/>
      </c>
      <c r="P23" s="39" t="str">
        <f t="shared" si="23"/>
        <v/>
      </c>
      <c r="Q23" s="52" t="str">
        <f t="shared" si="24"/>
        <v/>
      </c>
      <c r="R23" s="16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</row>
    <row r="24" spans="2:138" s="11" customFormat="1" ht="22.35" customHeight="1">
      <c r="B24" s="46">
        <v>2.6</v>
      </c>
      <c r="C24" s="62" t="s">
        <v>80</v>
      </c>
      <c r="D24" s="64"/>
      <c r="E24" s="25"/>
      <c r="F24" s="51"/>
      <c r="G24" s="51"/>
      <c r="H24" s="37" t="str">
        <f t="shared" si="19"/>
        <v/>
      </c>
      <c r="I24" s="58">
        <v>0</v>
      </c>
      <c r="J24" s="86">
        <f t="shared" si="25"/>
        <v>0</v>
      </c>
      <c r="K24" s="37" t="str">
        <f t="shared" si="26"/>
        <v/>
      </c>
      <c r="L24" s="69" t="str">
        <f t="shared" si="13"/>
        <v/>
      </c>
      <c r="M24" s="39">
        <f t="shared" si="20"/>
        <v>0</v>
      </c>
      <c r="N24" s="39">
        <f t="shared" si="21"/>
        <v>0</v>
      </c>
      <c r="O24" s="41" t="str">
        <f t="shared" si="22"/>
        <v/>
      </c>
      <c r="P24" s="39" t="str">
        <f t="shared" si="23"/>
        <v/>
      </c>
      <c r="Q24" s="52" t="str">
        <f t="shared" si="24"/>
        <v/>
      </c>
      <c r="R24" s="16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</row>
    <row r="25" spans="2:138" s="11" customFormat="1" ht="22.35" customHeight="1">
      <c r="B25" s="45">
        <v>2.7</v>
      </c>
      <c r="C25" s="62" t="s">
        <v>107</v>
      </c>
      <c r="D25" s="64"/>
      <c r="E25" s="25"/>
      <c r="F25" s="51"/>
      <c r="G25" s="51"/>
      <c r="H25" s="37" t="str">
        <f t="shared" si="19"/>
        <v/>
      </c>
      <c r="I25" s="58">
        <v>0</v>
      </c>
      <c r="J25" s="86">
        <f t="shared" si="25"/>
        <v>0</v>
      </c>
      <c r="K25" s="37" t="str">
        <f t="shared" si="26"/>
        <v/>
      </c>
      <c r="L25" s="69" t="str">
        <f t="shared" si="13"/>
        <v/>
      </c>
      <c r="M25" s="39">
        <f t="shared" si="20"/>
        <v>0</v>
      </c>
      <c r="N25" s="39">
        <f t="shared" si="21"/>
        <v>0</v>
      </c>
      <c r="O25" s="41" t="str">
        <f t="shared" si="22"/>
        <v/>
      </c>
      <c r="P25" s="39" t="str">
        <f t="shared" si="23"/>
        <v/>
      </c>
      <c r="Q25" s="52" t="str">
        <f t="shared" si="24"/>
        <v/>
      </c>
      <c r="R25" s="16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</row>
    <row r="26" spans="2:138" s="11" customFormat="1" ht="24.95" customHeight="1">
      <c r="B26" s="44">
        <v>3</v>
      </c>
      <c r="C26" s="67" t="s">
        <v>12</v>
      </c>
      <c r="D26" s="67"/>
      <c r="E26" s="88" t="s">
        <v>42</v>
      </c>
      <c r="F26" s="34">
        <f>MIN(F27:F32)</f>
        <v>0</v>
      </c>
      <c r="G26" s="34">
        <f>MAX(G27:G32)</f>
        <v>0</v>
      </c>
      <c r="H26" s="38" t="str">
        <f>IF(F26=0,"",G26-F26+1)</f>
        <v/>
      </c>
      <c r="I26" s="60" t="str">
        <f>IFERROR(SUMPRODUCT(H27:H32,I27:I32)/SUM(H27:H32),"")</f>
        <v/>
      </c>
      <c r="J26" s="34">
        <f>IF(MAX(J27:J32)="","",MAX(J27:J32))</f>
        <v>0</v>
      </c>
      <c r="K26" s="26">
        <f>J26-F26+1</f>
        <v>1</v>
      </c>
      <c r="L26" s="34"/>
      <c r="M26" s="38">
        <f>NETWORKDAYS(F26,G26)</f>
        <v>0</v>
      </c>
      <c r="N26" s="38">
        <f>NETWORKDAYS(F26,J26)</f>
        <v>0</v>
      </c>
      <c r="O26" s="38" t="str">
        <f>IFERROR(ROUNDDOWN(I26*H26,0),"")</f>
        <v/>
      </c>
      <c r="P26" s="38" t="str">
        <f>IFERROR(ROUNDDOWN(I26*K26,0),"")</f>
        <v/>
      </c>
      <c r="Q26" s="42" t="str">
        <f>IFERROR(H26-O26,"")</f>
        <v/>
      </c>
      <c r="R26" s="18" t="e">
        <f>K26-P26</f>
        <v>#VALUE!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</row>
    <row r="27" spans="2:138" s="11" customFormat="1" ht="22.35" customHeight="1">
      <c r="B27" s="45">
        <v>3.1</v>
      </c>
      <c r="C27" s="63" t="s">
        <v>108</v>
      </c>
      <c r="D27" s="66"/>
      <c r="E27" s="25"/>
      <c r="F27" s="51"/>
      <c r="G27" s="51"/>
      <c r="H27" s="36" t="str">
        <f t="shared" ref="H27:H32" si="27">IF(F27="","",G27-F27+1)</f>
        <v/>
      </c>
      <c r="I27" s="58">
        <v>0</v>
      </c>
      <c r="J27" s="86">
        <f>G27</f>
        <v>0</v>
      </c>
      <c r="K27" s="37" t="str">
        <f>IF(F27="","",J27-F27+1)</f>
        <v/>
      </c>
      <c r="L27" s="69" t="str">
        <f t="shared" si="13"/>
        <v/>
      </c>
      <c r="M27" s="39">
        <f t="shared" ref="M27:M32" si="28">NETWORKDAYS(F27,G27)</f>
        <v>0</v>
      </c>
      <c r="N27" s="39">
        <f t="shared" ref="N27:N32" si="29">NETWORKDAYS(F27,J27)</f>
        <v>0</v>
      </c>
      <c r="O27" s="41" t="str">
        <f t="shared" ref="O27:O32" si="30">IFERROR(ROUNDDOWN(I27*H27,0),"")</f>
        <v/>
      </c>
      <c r="P27" s="39" t="str">
        <f t="shared" ref="P27:P32" si="31">IFERROR(ROUNDDOWN(I27*K27,0),"")</f>
        <v/>
      </c>
      <c r="Q27" s="52" t="str">
        <f t="shared" ref="Q27:Q32" si="32">IFERROR(K27-P27,"")</f>
        <v/>
      </c>
      <c r="R27" s="16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</row>
    <row r="28" spans="2:138" s="11" customFormat="1" ht="22.35" customHeight="1">
      <c r="B28" s="46">
        <v>2.2000000000000002</v>
      </c>
      <c r="C28" s="62" t="s">
        <v>109</v>
      </c>
      <c r="D28" s="64"/>
      <c r="E28" s="25"/>
      <c r="F28" s="51"/>
      <c r="G28" s="51"/>
      <c r="H28" s="37" t="str">
        <f t="shared" si="27"/>
        <v/>
      </c>
      <c r="I28" s="58">
        <v>0</v>
      </c>
      <c r="J28" s="86">
        <f t="shared" ref="J28:J32" si="33">G28</f>
        <v>0</v>
      </c>
      <c r="K28" s="37" t="str">
        <f t="shared" ref="K28:K32" si="34">IF(F28="","",J28-F28+1)</f>
        <v/>
      </c>
      <c r="L28" s="69" t="str">
        <f t="shared" si="13"/>
        <v/>
      </c>
      <c r="M28" s="39">
        <f t="shared" si="28"/>
        <v>0</v>
      </c>
      <c r="N28" s="39">
        <f t="shared" si="29"/>
        <v>0</v>
      </c>
      <c r="O28" s="41" t="str">
        <f t="shared" si="30"/>
        <v/>
      </c>
      <c r="P28" s="39" t="str">
        <f t="shared" si="31"/>
        <v/>
      </c>
      <c r="Q28" s="52" t="str">
        <f t="shared" si="32"/>
        <v/>
      </c>
      <c r="R28" s="16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</row>
    <row r="29" spans="2:138" s="11" customFormat="1" ht="22.35" customHeight="1">
      <c r="B29" s="46">
        <v>2.2999999999999998</v>
      </c>
      <c r="C29" s="62" t="s">
        <v>110</v>
      </c>
      <c r="D29" s="64"/>
      <c r="E29" s="25"/>
      <c r="F29" s="51"/>
      <c r="G29" s="51"/>
      <c r="H29" s="37" t="str">
        <f t="shared" si="27"/>
        <v/>
      </c>
      <c r="I29" s="58">
        <v>0</v>
      </c>
      <c r="J29" s="86">
        <f t="shared" si="33"/>
        <v>0</v>
      </c>
      <c r="K29" s="37" t="str">
        <f t="shared" si="34"/>
        <v/>
      </c>
      <c r="L29" s="69" t="str">
        <f t="shared" si="13"/>
        <v/>
      </c>
      <c r="M29" s="39">
        <f t="shared" si="28"/>
        <v>0</v>
      </c>
      <c r="N29" s="39">
        <f t="shared" si="29"/>
        <v>0</v>
      </c>
      <c r="O29" s="41" t="str">
        <f t="shared" si="30"/>
        <v/>
      </c>
      <c r="P29" s="39" t="str">
        <f t="shared" si="31"/>
        <v/>
      </c>
      <c r="Q29" s="52" t="str">
        <f t="shared" si="32"/>
        <v/>
      </c>
      <c r="R29" s="16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</row>
    <row r="30" spans="2:138" s="11" customFormat="1" ht="22.35" customHeight="1">
      <c r="B30" s="46">
        <v>2.4000000000000004</v>
      </c>
      <c r="C30" s="62" t="s">
        <v>111</v>
      </c>
      <c r="D30" s="64"/>
      <c r="E30" s="25"/>
      <c r="F30" s="51"/>
      <c r="G30" s="51"/>
      <c r="H30" s="37" t="str">
        <f t="shared" si="27"/>
        <v/>
      </c>
      <c r="I30" s="58">
        <v>0</v>
      </c>
      <c r="J30" s="86">
        <f t="shared" si="33"/>
        <v>0</v>
      </c>
      <c r="K30" s="37" t="str">
        <f t="shared" si="34"/>
        <v/>
      </c>
      <c r="L30" s="69" t="str">
        <f t="shared" si="13"/>
        <v/>
      </c>
      <c r="M30" s="39">
        <f t="shared" si="28"/>
        <v>0</v>
      </c>
      <c r="N30" s="39">
        <f t="shared" si="29"/>
        <v>0</v>
      </c>
      <c r="O30" s="41" t="str">
        <f t="shared" si="30"/>
        <v/>
      </c>
      <c r="P30" s="39" t="str">
        <f t="shared" si="31"/>
        <v/>
      </c>
      <c r="Q30" s="52" t="str">
        <f t="shared" si="32"/>
        <v/>
      </c>
      <c r="R30" s="16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</row>
    <row r="31" spans="2:138" s="11" customFormat="1" ht="22.35" customHeight="1">
      <c r="B31" s="46">
        <v>2.5</v>
      </c>
      <c r="C31" s="62" t="s">
        <v>112</v>
      </c>
      <c r="D31" s="64"/>
      <c r="E31" s="25"/>
      <c r="F31" s="51"/>
      <c r="G31" s="51"/>
      <c r="H31" s="37" t="str">
        <f t="shared" si="27"/>
        <v/>
      </c>
      <c r="I31" s="58">
        <v>0</v>
      </c>
      <c r="J31" s="86">
        <f t="shared" si="33"/>
        <v>0</v>
      </c>
      <c r="K31" s="37" t="str">
        <f t="shared" si="34"/>
        <v/>
      </c>
      <c r="L31" s="69" t="str">
        <f t="shared" si="13"/>
        <v/>
      </c>
      <c r="M31" s="39">
        <f t="shared" si="28"/>
        <v>0</v>
      </c>
      <c r="N31" s="39">
        <f t="shared" si="29"/>
        <v>0</v>
      </c>
      <c r="O31" s="41" t="str">
        <f t="shared" si="30"/>
        <v/>
      </c>
      <c r="P31" s="39" t="str">
        <f t="shared" si="31"/>
        <v/>
      </c>
      <c r="Q31" s="52" t="str">
        <f t="shared" si="32"/>
        <v/>
      </c>
      <c r="R31" s="16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</row>
    <row r="32" spans="2:138" s="11" customFormat="1" ht="22.35" customHeight="1">
      <c r="B32" s="46">
        <v>2.6</v>
      </c>
      <c r="C32" s="62" t="s">
        <v>113</v>
      </c>
      <c r="D32" s="64"/>
      <c r="E32" s="25"/>
      <c r="F32" s="51"/>
      <c r="G32" s="51"/>
      <c r="H32" s="37" t="str">
        <f t="shared" si="27"/>
        <v/>
      </c>
      <c r="I32" s="58">
        <v>0</v>
      </c>
      <c r="J32" s="86">
        <f t="shared" si="33"/>
        <v>0</v>
      </c>
      <c r="K32" s="37" t="str">
        <f t="shared" si="34"/>
        <v/>
      </c>
      <c r="L32" s="69" t="str">
        <f t="shared" si="13"/>
        <v/>
      </c>
      <c r="M32" s="39">
        <f t="shared" si="28"/>
        <v>0</v>
      </c>
      <c r="N32" s="39">
        <f t="shared" si="29"/>
        <v>0</v>
      </c>
      <c r="O32" s="41" t="str">
        <f t="shared" si="30"/>
        <v/>
      </c>
      <c r="P32" s="39" t="str">
        <f t="shared" si="31"/>
        <v/>
      </c>
      <c r="Q32" s="52" t="str">
        <f t="shared" si="32"/>
        <v/>
      </c>
      <c r="R32" s="16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</row>
  </sheetData>
  <mergeCells count="8">
    <mergeCell ref="AB4:AD4"/>
    <mergeCell ref="AF4:AH4"/>
    <mergeCell ref="AJ4:AL4"/>
    <mergeCell ref="D6:E6"/>
    <mergeCell ref="C9:D9"/>
    <mergeCell ref="D4:E4"/>
    <mergeCell ref="T4:V4"/>
    <mergeCell ref="X4:Z4"/>
  </mergeCells>
  <phoneticPr fontId="39" type="noConversion"/>
  <conditionalFormatting sqref="I10">
    <cfRule type="dataBar" priority="15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{71211B3C-0D36-4A05-96BE-2FB010902D7E}</x14:id>
        </ext>
      </extLst>
    </cfRule>
  </conditionalFormatting>
  <conditionalFormatting sqref="I11:I14 I17 I19:I25 I27:I30 I32">
    <cfRule type="dataBar" priority="1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{6DA111BD-5893-44B2-9CA7-472B3CE0C806}</x14:id>
        </ext>
      </extLst>
    </cfRule>
  </conditionalFormatting>
  <conditionalFormatting sqref="I11:I17">
    <cfRule type="dataBar" priority="1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{55E6ECEC-684B-4EAC-ADC9-731F9CF4AB33}</x14:id>
        </ext>
      </extLst>
    </cfRule>
  </conditionalFormatting>
  <conditionalFormatting sqref="I14">
    <cfRule type="dataBar" priority="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{B7CFAE36-021B-460E-BBAF-65C08955FB03}</x14:id>
        </ext>
      </extLst>
    </cfRule>
  </conditionalFormatting>
  <conditionalFormatting sqref="I15">
    <cfRule type="dataBar" priority="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{D31F93B6-F745-421A-8B1B-1A788455DE13}</x14:id>
        </ext>
      </extLst>
    </cfRule>
    <cfRule type="dataBar" priority="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{4968173A-8718-4D94-A592-9624645B9D87}</x14:id>
        </ext>
      </extLst>
    </cfRule>
  </conditionalFormatting>
  <conditionalFormatting sqref="I16">
    <cfRule type="dataBar" priority="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{99E7F33D-3CD4-41DE-AB36-EA4C4373DEF9}</x14:id>
        </ext>
      </extLst>
    </cfRule>
    <cfRule type="dataBar" priority="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{B64054CF-A6F7-4B16-B142-B98C371ACB36}</x14:id>
        </ext>
      </extLst>
    </cfRule>
    <cfRule type="dataBar" priority="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{163A3D10-F506-4197-9F6B-81A1E5D7E751}</x14:id>
        </ext>
      </extLst>
    </cfRule>
    <cfRule type="dataBar" priority="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{1FC7FF23-A115-472F-AD8A-D386ABDE26C8}</x14:id>
        </ext>
      </extLst>
    </cfRule>
  </conditionalFormatting>
  <conditionalFormatting sqref="I18">
    <cfRule type="dataBar" priority="10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{F175997F-AF0A-478B-A01A-1ADD4DD1A4E7}</x14:id>
        </ext>
      </extLst>
    </cfRule>
  </conditionalFormatting>
  <conditionalFormatting sqref="I26">
    <cfRule type="dataBar" priority="9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{2CCA2E72-F471-467A-BD9B-DCBEACBDA31C}</x14:id>
        </ext>
      </extLst>
    </cfRule>
  </conditionalFormatting>
  <conditionalFormatting sqref="I31">
    <cfRule type="dataBar" priority="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{95CEA8EA-A716-441B-9425-5D30724EC71C}</x14:id>
        </ext>
      </extLst>
    </cfRule>
  </conditionalFormatting>
  <conditionalFormatting sqref="J11:J17 L11:L17 J19:J25 L19:L25 J27:J32 L27:L32">
    <cfRule type="expression" dxfId="21" priority="19">
      <formula>$G11&lt;$J11</formula>
    </cfRule>
  </conditionalFormatting>
  <conditionalFormatting sqref="S7:EH7">
    <cfRule type="expression" dxfId="20" priority="16">
      <formula>YEAR(S7)=YEAR(S9)</formula>
    </cfRule>
  </conditionalFormatting>
  <conditionalFormatting sqref="S8:EH8">
    <cfRule type="expression" dxfId="19" priority="17">
      <formula>S$9=$D$4</formula>
    </cfRule>
  </conditionalFormatting>
  <conditionalFormatting sqref="S8:EH9">
    <cfRule type="expression" dxfId="18" priority="11">
      <formula>WEEKDAY(S$9,2)=6</formula>
    </cfRule>
    <cfRule type="expression" dxfId="17" priority="12">
      <formula>WEEKDAY(S$9,2)=7</formula>
    </cfRule>
  </conditionalFormatting>
  <conditionalFormatting sqref="S10:EH10 S18:EH18 S26:EH26">
    <cfRule type="expression" dxfId="16" priority="21">
      <formula>IF($K10&gt;$H10,AND(S$9&gt;=$F10,S$9&lt;=$J10-$R10),AND(S$9&gt;=$F10,S$9&lt;=$G10-$Q10))</formula>
    </cfRule>
    <cfRule type="expression" dxfId="15" priority="23">
      <formula>AND(S$9&gt;=$F10,S$9&lt;=$G10)</formula>
    </cfRule>
  </conditionalFormatting>
  <conditionalFormatting sqref="S10:EH32">
    <cfRule type="expression" dxfId="14" priority="22">
      <formula>AND(S$9&gt;$G10,S$9&lt;=$J10)</formula>
    </cfRule>
  </conditionalFormatting>
  <conditionalFormatting sqref="S11:EH17 S19:EH25 S27:EH32">
    <cfRule type="expression" dxfId="13" priority="20">
      <formula>IF($K11&gt;$H11,AND(S$9&gt;=$F11,S$9&lt;=$J11-$Q11),AND(S$9&gt;=$F11,S$9&lt;=$G11-$Q11))</formula>
    </cfRule>
    <cfRule type="expression" dxfId="12" priority="24">
      <formula>AND(S$9&gt;=$F11,S$9&lt;=$G11)</formula>
    </cfRule>
  </conditionalFormatting>
  <conditionalFormatting sqref="DZ9:EH9 S9:DY32">
    <cfRule type="expression" dxfId="11" priority="18">
      <formula>S$9=$D$4</formula>
    </cfRule>
  </conditionalFormatting>
  <dataValidations count="1">
    <dataValidation type="list" allowBlank="1" showInputMessage="1" showErrorMessage="1" sqref="D6:E6" xr:uid="{F7ADC48E-8197-4EAD-B8FB-239ECC9E5757}">
      <formula1>"월요일,화요일,수요일,목요일,금요일,토요일,일요일"</formula1>
    </dataValidation>
  </dataValidation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211B3C-0D36-4A05-96BE-2FB010902D7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6DA111BD-5893-44B2-9CA7-472B3CE0C80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I11:I14 I17 I19:I25 I27:I30 I32</xm:sqref>
        </x14:conditionalFormatting>
        <x14:conditionalFormatting xmlns:xm="http://schemas.microsoft.com/office/excel/2006/main">
          <x14:cfRule type="dataBar" id="{55E6ECEC-684B-4EAC-ADC9-731F9CF4AB3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I11:I17</xm:sqref>
        </x14:conditionalFormatting>
        <x14:conditionalFormatting xmlns:xm="http://schemas.microsoft.com/office/excel/2006/main">
          <x14:cfRule type="dataBar" id="{B7CFAE36-021B-460E-BBAF-65C08955FB0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D31F93B6-F745-421A-8B1B-1A788455DE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4968173A-8718-4D94-A592-9624645B9D8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99E7F33D-3CD4-41DE-AB36-EA4C4373D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64054CF-A6F7-4B16-B142-B98C371ACB3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63A3D10-F506-4197-9F6B-81A1E5D7E75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FC7FF23-A115-472F-AD8A-D386ABDE26C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F175997F-AF0A-478B-A01A-1ADD4DD1A4E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2CCA2E72-F471-467A-BD9B-DCBEACBDA3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95CEA8EA-A716-441B-9425-5D30724EC71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/>
  <dimension ref="B1:EH32"/>
  <sheetViews>
    <sheetView zoomScaleNormal="75" zoomScaleSheetLayoutView="100" workbookViewId="0">
      <selection activeCell="G31" sqref="G31"/>
    </sheetView>
  </sheetViews>
  <sheetFormatPr defaultColWidth="9.125" defaultRowHeight="13.5" outlineLevelCol="1"/>
  <cols>
    <col min="1" max="1" width="2.625" style="4" customWidth="1"/>
    <col min="2" max="2" width="7.375" style="4" customWidth="1"/>
    <col min="3" max="3" width="27" style="4" bestFit="1" customWidth="1"/>
    <col min="4" max="4" width="12.75" style="4" customWidth="1"/>
    <col min="5" max="5" width="9.125" style="4"/>
    <col min="6" max="6" width="12.875" style="4" bestFit="1" customWidth="1"/>
    <col min="7" max="7" width="13" style="4" bestFit="1" customWidth="1"/>
    <col min="8" max="8" width="8.75" style="4" bestFit="1" customWidth="1"/>
    <col min="9" max="9" width="12.25" style="4" customWidth="1"/>
    <col min="10" max="10" width="11.625" style="4" bestFit="1" customWidth="1"/>
    <col min="11" max="11" width="8.75" style="4" bestFit="1" customWidth="1"/>
    <col min="12" max="12" width="7.625" style="4" bestFit="1" customWidth="1"/>
    <col min="13" max="13" width="11.875" style="4" hidden="1" customWidth="1" outlineLevel="1"/>
    <col min="14" max="14" width="12.125" style="4" customWidth="1" collapsed="1"/>
    <col min="15" max="16" width="11.875" style="4" hidden="1" customWidth="1" outlineLevel="1"/>
    <col min="17" max="17" width="9.625" style="4" customWidth="1" collapsed="1"/>
    <col min="18" max="18" width="8.375" style="4" hidden="1" customWidth="1" outlineLevel="1"/>
    <col min="19" max="19" width="3.625" style="5" customWidth="1" collapsed="1"/>
    <col min="20" max="138" width="3.625" style="5" customWidth="1"/>
    <col min="139" max="139" width="2.625" style="4" customWidth="1"/>
    <col min="140" max="16384" width="9.125" style="4"/>
  </cols>
  <sheetData>
    <row r="1" spans="2:138" s="1" customFormat="1" ht="50.1" customHeight="1">
      <c r="B1" s="55" t="s">
        <v>116</v>
      </c>
      <c r="C1" s="55"/>
      <c r="D1" s="55"/>
      <c r="E1" s="55"/>
      <c r="F1" s="55"/>
      <c r="H1" s="55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</row>
    <row r="2" spans="2:138" s="3" customFormat="1" ht="9.9499999999999993" customHeight="1"/>
    <row r="3" spans="2:138" ht="20.100000000000001" customHeight="1"/>
    <row r="4" spans="2:138" ht="23.1" customHeight="1">
      <c r="C4" s="20" t="s">
        <v>17</v>
      </c>
      <c r="D4" s="193">
        <f ca="1">TODAY()</f>
        <v>46065</v>
      </c>
      <c r="E4" s="193"/>
      <c r="F4" s="56" t="s">
        <v>18</v>
      </c>
      <c r="G4" s="53" t="s">
        <v>42</v>
      </c>
      <c r="H4" s="48"/>
      <c r="I4" s="50" t="s">
        <v>20</v>
      </c>
      <c r="S4" s="27"/>
      <c r="T4" s="190" t="s">
        <v>21</v>
      </c>
      <c r="U4" s="190"/>
      <c r="V4" s="190"/>
      <c r="W4" s="28"/>
      <c r="X4" s="190" t="s">
        <v>22</v>
      </c>
      <c r="Y4" s="190"/>
      <c r="Z4" s="190"/>
      <c r="AA4" s="29"/>
      <c r="AB4" s="190" t="s">
        <v>23</v>
      </c>
      <c r="AC4" s="190"/>
      <c r="AD4" s="190"/>
      <c r="AE4" s="30"/>
      <c r="AF4" s="190" t="s">
        <v>24</v>
      </c>
      <c r="AG4" s="190"/>
      <c r="AH4" s="190"/>
      <c r="AI4" s="31"/>
      <c r="AJ4" s="190" t="s">
        <v>25</v>
      </c>
      <c r="AK4" s="190"/>
      <c r="AL4" s="190"/>
      <c r="AM4" s="48"/>
      <c r="AN4" s="48"/>
      <c r="AO4" s="6"/>
      <c r="AP4" s="6"/>
      <c r="AQ4" s="6"/>
    </row>
    <row r="5" spans="2:138" ht="5.0999999999999996" customHeight="1">
      <c r="C5" s="21"/>
      <c r="D5" s="21"/>
      <c r="E5" s="21"/>
      <c r="F5" s="57"/>
      <c r="G5" s="21"/>
      <c r="H5" s="21"/>
      <c r="N5" s="6"/>
      <c r="O5" s="6"/>
      <c r="X5" s="7"/>
    </row>
    <row r="6" spans="2:138" ht="23.1" customHeight="1">
      <c r="C6" s="20" t="s">
        <v>26</v>
      </c>
      <c r="D6" s="191" t="s">
        <v>27</v>
      </c>
      <c r="E6" s="191"/>
      <c r="F6" s="56" t="s">
        <v>3</v>
      </c>
      <c r="G6" s="54">
        <v>46082</v>
      </c>
      <c r="H6" s="48"/>
      <c r="I6" s="61">
        <v>1</v>
      </c>
      <c r="J6" s="8">
        <v>0</v>
      </c>
      <c r="L6" s="8"/>
      <c r="N6" s="6"/>
      <c r="O6" s="6"/>
    </row>
    <row r="7" spans="2:138" ht="24.95" customHeight="1">
      <c r="R7" s="5"/>
      <c r="S7" s="49" t="str">
        <f>TEXT(DATE(YEAR(S9),MONTH(S9),DAY(S9)),"M월")</f>
        <v>3월</v>
      </c>
      <c r="T7" s="49" t="str">
        <f>IF(MONTH(T9)&lt;&gt;MONTH(S9),TEXT(DATE(YEAR(T9),MONTH(T9),DAY(T9)),"M월"),"")</f>
        <v/>
      </c>
      <c r="U7" s="49" t="str">
        <f t="shared" ref="U7:EH7" si="0">IF(MONTH(U9)&lt;&gt;MONTH(T9),TEXT(DATE(YEAR(U9),MONTH(U9),DAY(U9)),"M월"),"")</f>
        <v/>
      </c>
      <c r="V7" s="49" t="str">
        <f t="shared" si="0"/>
        <v/>
      </c>
      <c r="W7" s="49" t="str">
        <f t="shared" si="0"/>
        <v/>
      </c>
      <c r="X7" s="49" t="str">
        <f t="shared" si="0"/>
        <v/>
      </c>
      <c r="Y7" s="49" t="str">
        <f t="shared" si="0"/>
        <v/>
      </c>
      <c r="Z7" s="49" t="str">
        <f t="shared" si="0"/>
        <v/>
      </c>
      <c r="AA7" s="49" t="str">
        <f t="shared" si="0"/>
        <v/>
      </c>
      <c r="AB7" s="49" t="str">
        <f t="shared" si="0"/>
        <v/>
      </c>
      <c r="AC7" s="49" t="str">
        <f t="shared" si="0"/>
        <v/>
      </c>
      <c r="AD7" s="49" t="str">
        <f t="shared" si="0"/>
        <v/>
      </c>
      <c r="AE7" s="49" t="str">
        <f t="shared" si="0"/>
        <v/>
      </c>
      <c r="AF7" s="49" t="str">
        <f t="shared" si="0"/>
        <v/>
      </c>
      <c r="AG7" s="49" t="str">
        <f t="shared" si="0"/>
        <v/>
      </c>
      <c r="AH7" s="49" t="str">
        <f t="shared" si="0"/>
        <v/>
      </c>
      <c r="AI7" s="49" t="str">
        <f t="shared" si="0"/>
        <v/>
      </c>
      <c r="AJ7" s="49" t="str">
        <f t="shared" si="0"/>
        <v/>
      </c>
      <c r="AK7" s="49" t="str">
        <f t="shared" si="0"/>
        <v/>
      </c>
      <c r="AL7" s="49" t="str">
        <f t="shared" si="0"/>
        <v/>
      </c>
      <c r="AM7" s="49" t="str">
        <f t="shared" si="0"/>
        <v/>
      </c>
      <c r="AN7" s="49" t="str">
        <f t="shared" si="0"/>
        <v/>
      </c>
      <c r="AO7" s="49" t="str">
        <f t="shared" si="0"/>
        <v/>
      </c>
      <c r="AP7" s="49" t="str">
        <f t="shared" si="0"/>
        <v/>
      </c>
      <c r="AQ7" s="49" t="str">
        <f t="shared" si="0"/>
        <v/>
      </c>
      <c r="AR7" s="49" t="str">
        <f t="shared" si="0"/>
        <v/>
      </c>
      <c r="AS7" s="49" t="str">
        <f t="shared" si="0"/>
        <v/>
      </c>
      <c r="AT7" s="49" t="str">
        <f t="shared" si="0"/>
        <v/>
      </c>
      <c r="AU7" s="49" t="str">
        <f t="shared" si="0"/>
        <v/>
      </c>
      <c r="AV7" s="49" t="str">
        <f t="shared" si="0"/>
        <v/>
      </c>
      <c r="AW7" s="49" t="str">
        <f t="shared" si="0"/>
        <v>4월</v>
      </c>
      <c r="AX7" s="49" t="str">
        <f t="shared" si="0"/>
        <v/>
      </c>
      <c r="AY7" s="49" t="str">
        <f t="shared" si="0"/>
        <v/>
      </c>
      <c r="AZ7" s="49" t="str">
        <f t="shared" si="0"/>
        <v/>
      </c>
      <c r="BA7" s="49" t="str">
        <f t="shared" si="0"/>
        <v/>
      </c>
      <c r="BB7" s="49" t="str">
        <f t="shared" si="0"/>
        <v/>
      </c>
      <c r="BC7" s="49" t="str">
        <f t="shared" si="0"/>
        <v/>
      </c>
      <c r="BD7" s="49" t="str">
        <f t="shared" si="0"/>
        <v/>
      </c>
      <c r="BE7" s="49" t="str">
        <f t="shared" si="0"/>
        <v/>
      </c>
      <c r="BF7" s="49" t="str">
        <f t="shared" si="0"/>
        <v/>
      </c>
      <c r="BG7" s="49" t="str">
        <f t="shared" si="0"/>
        <v/>
      </c>
      <c r="BH7" s="49" t="str">
        <f t="shared" si="0"/>
        <v/>
      </c>
      <c r="BI7" s="49" t="str">
        <f t="shared" si="0"/>
        <v/>
      </c>
      <c r="BJ7" s="49" t="str">
        <f t="shared" si="0"/>
        <v/>
      </c>
      <c r="BK7" s="49" t="str">
        <f t="shared" si="0"/>
        <v/>
      </c>
      <c r="BL7" s="49" t="str">
        <f t="shared" si="0"/>
        <v/>
      </c>
      <c r="BM7" s="49" t="str">
        <f t="shared" si="0"/>
        <v/>
      </c>
      <c r="BN7" s="49" t="str">
        <f t="shared" si="0"/>
        <v/>
      </c>
      <c r="BO7" s="49" t="str">
        <f t="shared" si="0"/>
        <v/>
      </c>
      <c r="BP7" s="49" t="str">
        <f t="shared" si="0"/>
        <v/>
      </c>
      <c r="BQ7" s="49" t="str">
        <f t="shared" si="0"/>
        <v/>
      </c>
      <c r="BR7" s="49" t="str">
        <f t="shared" si="0"/>
        <v/>
      </c>
      <c r="BS7" s="49" t="str">
        <f t="shared" si="0"/>
        <v/>
      </c>
      <c r="BT7" s="49" t="str">
        <f t="shared" si="0"/>
        <v/>
      </c>
      <c r="BU7" s="49" t="str">
        <f t="shared" si="0"/>
        <v/>
      </c>
      <c r="BV7" s="49" t="str">
        <f t="shared" si="0"/>
        <v/>
      </c>
      <c r="BW7" s="49" t="str">
        <f t="shared" si="0"/>
        <v/>
      </c>
      <c r="BX7" s="49" t="str">
        <f t="shared" si="0"/>
        <v/>
      </c>
      <c r="BY7" s="49" t="str">
        <f t="shared" si="0"/>
        <v/>
      </c>
      <c r="BZ7" s="49" t="str">
        <f t="shared" si="0"/>
        <v/>
      </c>
      <c r="CA7" s="49" t="str">
        <f t="shared" si="0"/>
        <v>5월</v>
      </c>
      <c r="CB7" s="49" t="str">
        <f t="shared" si="0"/>
        <v/>
      </c>
      <c r="CC7" s="49" t="str">
        <f t="shared" si="0"/>
        <v/>
      </c>
      <c r="CD7" s="49" t="str">
        <f t="shared" si="0"/>
        <v/>
      </c>
      <c r="CE7" s="49" t="str">
        <f t="shared" si="0"/>
        <v/>
      </c>
      <c r="CF7" s="49" t="str">
        <f t="shared" si="0"/>
        <v/>
      </c>
      <c r="CG7" s="49" t="str">
        <f t="shared" si="0"/>
        <v/>
      </c>
      <c r="CH7" s="49" t="str">
        <f t="shared" si="0"/>
        <v/>
      </c>
      <c r="CI7" s="49" t="str">
        <f t="shared" si="0"/>
        <v/>
      </c>
      <c r="CJ7" s="49" t="str">
        <f t="shared" si="0"/>
        <v/>
      </c>
      <c r="CK7" s="49" t="str">
        <f t="shared" si="0"/>
        <v/>
      </c>
      <c r="CL7" s="49" t="str">
        <f t="shared" si="0"/>
        <v/>
      </c>
      <c r="CM7" s="49" t="str">
        <f t="shared" si="0"/>
        <v/>
      </c>
      <c r="CN7" s="49" t="str">
        <f t="shared" si="0"/>
        <v/>
      </c>
      <c r="CO7" s="49" t="str">
        <f t="shared" si="0"/>
        <v/>
      </c>
      <c r="CP7" s="49" t="str">
        <f t="shared" si="0"/>
        <v/>
      </c>
      <c r="CQ7" s="49" t="str">
        <f t="shared" si="0"/>
        <v/>
      </c>
      <c r="CR7" s="49" t="str">
        <f t="shared" si="0"/>
        <v/>
      </c>
      <c r="CS7" s="49" t="str">
        <f t="shared" si="0"/>
        <v/>
      </c>
      <c r="CT7" s="49" t="str">
        <f t="shared" si="0"/>
        <v/>
      </c>
      <c r="CU7" s="49" t="str">
        <f t="shared" si="0"/>
        <v/>
      </c>
      <c r="CV7" s="49" t="str">
        <f t="shared" si="0"/>
        <v/>
      </c>
      <c r="CW7" s="49" t="str">
        <f t="shared" si="0"/>
        <v/>
      </c>
      <c r="CX7" s="49" t="str">
        <f t="shared" si="0"/>
        <v/>
      </c>
      <c r="CY7" s="49" t="str">
        <f t="shared" si="0"/>
        <v/>
      </c>
      <c r="CZ7" s="49" t="str">
        <f t="shared" si="0"/>
        <v/>
      </c>
      <c r="DA7" s="49" t="str">
        <f t="shared" si="0"/>
        <v/>
      </c>
      <c r="DB7" s="49" t="str">
        <f t="shared" si="0"/>
        <v/>
      </c>
      <c r="DC7" s="49" t="str">
        <f t="shared" si="0"/>
        <v/>
      </c>
      <c r="DD7" s="49" t="str">
        <f t="shared" si="0"/>
        <v/>
      </c>
      <c r="DE7" s="49" t="str">
        <f t="shared" si="0"/>
        <v/>
      </c>
      <c r="DF7" s="49" t="str">
        <f t="shared" si="0"/>
        <v>6월</v>
      </c>
      <c r="DG7" s="49" t="str">
        <f t="shared" si="0"/>
        <v/>
      </c>
      <c r="DH7" s="49" t="str">
        <f t="shared" si="0"/>
        <v/>
      </c>
      <c r="DI7" s="49" t="str">
        <f t="shared" si="0"/>
        <v/>
      </c>
      <c r="DJ7" s="49" t="str">
        <f t="shared" si="0"/>
        <v/>
      </c>
      <c r="DK7" s="49" t="str">
        <f t="shared" si="0"/>
        <v/>
      </c>
      <c r="DL7" s="49" t="str">
        <f t="shared" si="0"/>
        <v/>
      </c>
      <c r="DM7" s="49" t="str">
        <f t="shared" si="0"/>
        <v/>
      </c>
      <c r="DN7" s="49" t="str">
        <f t="shared" si="0"/>
        <v/>
      </c>
      <c r="DO7" s="49" t="str">
        <f t="shared" si="0"/>
        <v/>
      </c>
      <c r="DP7" s="49" t="str">
        <f t="shared" si="0"/>
        <v/>
      </c>
      <c r="DQ7" s="49" t="str">
        <f t="shared" si="0"/>
        <v/>
      </c>
      <c r="DR7" s="49" t="str">
        <f t="shared" si="0"/>
        <v/>
      </c>
      <c r="DS7" s="49" t="str">
        <f t="shared" si="0"/>
        <v/>
      </c>
      <c r="DT7" s="49" t="str">
        <f t="shared" si="0"/>
        <v/>
      </c>
      <c r="DU7" s="49" t="str">
        <f t="shared" si="0"/>
        <v/>
      </c>
      <c r="DV7" s="49" t="str">
        <f t="shared" si="0"/>
        <v/>
      </c>
      <c r="DW7" s="49" t="str">
        <f t="shared" si="0"/>
        <v/>
      </c>
      <c r="DX7" s="49" t="str">
        <f t="shared" si="0"/>
        <v/>
      </c>
      <c r="DY7" s="49" t="str">
        <f t="shared" si="0"/>
        <v/>
      </c>
      <c r="DZ7" s="49" t="str">
        <f t="shared" si="0"/>
        <v/>
      </c>
      <c r="EA7" s="49" t="str">
        <f t="shared" si="0"/>
        <v/>
      </c>
      <c r="EB7" s="49" t="str">
        <f t="shared" si="0"/>
        <v/>
      </c>
      <c r="EC7" s="49" t="str">
        <f t="shared" si="0"/>
        <v/>
      </c>
      <c r="ED7" s="49" t="str">
        <f t="shared" si="0"/>
        <v/>
      </c>
      <c r="EE7" s="49" t="str">
        <f t="shared" si="0"/>
        <v/>
      </c>
      <c r="EF7" s="49" t="str">
        <f t="shared" si="0"/>
        <v/>
      </c>
      <c r="EG7" s="49" t="str">
        <f t="shared" si="0"/>
        <v/>
      </c>
      <c r="EH7" s="49" t="str">
        <f t="shared" si="0"/>
        <v/>
      </c>
    </row>
    <row r="8" spans="2:138" ht="18" customHeight="1">
      <c r="S8" s="47">
        <f>S9</f>
        <v>46083</v>
      </c>
      <c r="T8" s="47">
        <f t="shared" ref="T8:EH9" si="1">S8+$I$6</f>
        <v>46084</v>
      </c>
      <c r="U8" s="47">
        <f t="shared" si="1"/>
        <v>46085</v>
      </c>
      <c r="V8" s="47">
        <f t="shared" si="1"/>
        <v>46086</v>
      </c>
      <c r="W8" s="47">
        <f t="shared" si="1"/>
        <v>46087</v>
      </c>
      <c r="X8" s="47">
        <f t="shared" si="1"/>
        <v>46088</v>
      </c>
      <c r="Y8" s="47">
        <f t="shared" si="1"/>
        <v>46089</v>
      </c>
      <c r="Z8" s="47">
        <f t="shared" si="1"/>
        <v>46090</v>
      </c>
      <c r="AA8" s="47">
        <f t="shared" si="1"/>
        <v>46091</v>
      </c>
      <c r="AB8" s="47">
        <f t="shared" si="1"/>
        <v>46092</v>
      </c>
      <c r="AC8" s="47">
        <f t="shared" si="1"/>
        <v>46093</v>
      </c>
      <c r="AD8" s="47">
        <f t="shared" si="1"/>
        <v>46094</v>
      </c>
      <c r="AE8" s="47">
        <f t="shared" si="1"/>
        <v>46095</v>
      </c>
      <c r="AF8" s="47">
        <f t="shared" si="1"/>
        <v>46096</v>
      </c>
      <c r="AG8" s="47">
        <f t="shared" si="1"/>
        <v>46097</v>
      </c>
      <c r="AH8" s="47">
        <f t="shared" si="1"/>
        <v>46098</v>
      </c>
      <c r="AI8" s="47">
        <f t="shared" si="1"/>
        <v>46099</v>
      </c>
      <c r="AJ8" s="47">
        <f t="shared" si="1"/>
        <v>46100</v>
      </c>
      <c r="AK8" s="47">
        <f t="shared" si="1"/>
        <v>46101</v>
      </c>
      <c r="AL8" s="47">
        <f t="shared" si="1"/>
        <v>46102</v>
      </c>
      <c r="AM8" s="47">
        <f t="shared" si="1"/>
        <v>46103</v>
      </c>
      <c r="AN8" s="47">
        <f t="shared" si="1"/>
        <v>46104</v>
      </c>
      <c r="AO8" s="47">
        <f t="shared" si="1"/>
        <v>46105</v>
      </c>
      <c r="AP8" s="47">
        <f t="shared" si="1"/>
        <v>46106</v>
      </c>
      <c r="AQ8" s="47">
        <f t="shared" si="1"/>
        <v>46107</v>
      </c>
      <c r="AR8" s="47">
        <f t="shared" si="1"/>
        <v>46108</v>
      </c>
      <c r="AS8" s="47">
        <f t="shared" si="1"/>
        <v>46109</v>
      </c>
      <c r="AT8" s="47">
        <f t="shared" si="1"/>
        <v>46110</v>
      </c>
      <c r="AU8" s="47">
        <f t="shared" si="1"/>
        <v>46111</v>
      </c>
      <c r="AV8" s="47">
        <f t="shared" si="1"/>
        <v>46112</v>
      </c>
      <c r="AW8" s="47">
        <f t="shared" si="1"/>
        <v>46113</v>
      </c>
      <c r="AX8" s="47">
        <f t="shared" si="1"/>
        <v>46114</v>
      </c>
      <c r="AY8" s="47">
        <f t="shared" si="1"/>
        <v>46115</v>
      </c>
      <c r="AZ8" s="47">
        <f t="shared" si="1"/>
        <v>46116</v>
      </c>
      <c r="BA8" s="47">
        <f t="shared" si="1"/>
        <v>46117</v>
      </c>
      <c r="BB8" s="47">
        <f t="shared" si="1"/>
        <v>46118</v>
      </c>
      <c r="BC8" s="47">
        <f t="shared" si="1"/>
        <v>46119</v>
      </c>
      <c r="BD8" s="47">
        <f t="shared" si="1"/>
        <v>46120</v>
      </c>
      <c r="BE8" s="47">
        <f t="shared" si="1"/>
        <v>46121</v>
      </c>
      <c r="BF8" s="47">
        <f t="shared" si="1"/>
        <v>46122</v>
      </c>
      <c r="BG8" s="47">
        <f t="shared" si="1"/>
        <v>46123</v>
      </c>
      <c r="BH8" s="47">
        <f t="shared" si="1"/>
        <v>46124</v>
      </c>
      <c r="BI8" s="47">
        <f t="shared" si="1"/>
        <v>46125</v>
      </c>
      <c r="BJ8" s="47">
        <f t="shared" si="1"/>
        <v>46126</v>
      </c>
      <c r="BK8" s="47">
        <f t="shared" si="1"/>
        <v>46127</v>
      </c>
      <c r="BL8" s="47">
        <f t="shared" si="1"/>
        <v>46128</v>
      </c>
      <c r="BM8" s="47">
        <f t="shared" si="1"/>
        <v>46129</v>
      </c>
      <c r="BN8" s="47">
        <f t="shared" si="1"/>
        <v>46130</v>
      </c>
      <c r="BO8" s="47">
        <f t="shared" si="1"/>
        <v>46131</v>
      </c>
      <c r="BP8" s="47">
        <f t="shared" si="1"/>
        <v>46132</v>
      </c>
      <c r="BQ8" s="47">
        <f t="shared" si="1"/>
        <v>46133</v>
      </c>
      <c r="BR8" s="47">
        <f t="shared" si="1"/>
        <v>46134</v>
      </c>
      <c r="BS8" s="47">
        <f t="shared" si="1"/>
        <v>46135</v>
      </c>
      <c r="BT8" s="47">
        <f t="shared" si="1"/>
        <v>46136</v>
      </c>
      <c r="BU8" s="47">
        <f t="shared" si="1"/>
        <v>46137</v>
      </c>
      <c r="BV8" s="47">
        <f t="shared" si="1"/>
        <v>46138</v>
      </c>
      <c r="BW8" s="47">
        <f t="shared" si="1"/>
        <v>46139</v>
      </c>
      <c r="BX8" s="47">
        <f t="shared" si="1"/>
        <v>46140</v>
      </c>
      <c r="BY8" s="47">
        <f t="shared" si="1"/>
        <v>46141</v>
      </c>
      <c r="BZ8" s="47">
        <f t="shared" si="1"/>
        <v>46142</v>
      </c>
      <c r="CA8" s="47">
        <f t="shared" si="1"/>
        <v>46143</v>
      </c>
      <c r="CB8" s="47">
        <f t="shared" si="1"/>
        <v>46144</v>
      </c>
      <c r="CC8" s="47">
        <f t="shared" si="1"/>
        <v>46145</v>
      </c>
      <c r="CD8" s="47">
        <f t="shared" si="1"/>
        <v>46146</v>
      </c>
      <c r="CE8" s="47">
        <f t="shared" si="1"/>
        <v>46147</v>
      </c>
      <c r="CF8" s="47">
        <f t="shared" si="1"/>
        <v>46148</v>
      </c>
      <c r="CG8" s="47">
        <f t="shared" si="1"/>
        <v>46149</v>
      </c>
      <c r="CH8" s="47">
        <f t="shared" si="1"/>
        <v>46150</v>
      </c>
      <c r="CI8" s="47">
        <f t="shared" si="1"/>
        <v>46151</v>
      </c>
      <c r="CJ8" s="47">
        <f t="shared" si="1"/>
        <v>46152</v>
      </c>
      <c r="CK8" s="47">
        <f t="shared" si="1"/>
        <v>46153</v>
      </c>
      <c r="CL8" s="47">
        <f t="shared" si="1"/>
        <v>46154</v>
      </c>
      <c r="CM8" s="47">
        <f t="shared" si="1"/>
        <v>46155</v>
      </c>
      <c r="CN8" s="47">
        <f t="shared" si="1"/>
        <v>46156</v>
      </c>
      <c r="CO8" s="47">
        <f t="shared" si="1"/>
        <v>46157</v>
      </c>
      <c r="CP8" s="47">
        <f t="shared" si="1"/>
        <v>46158</v>
      </c>
      <c r="CQ8" s="47">
        <f t="shared" si="1"/>
        <v>46159</v>
      </c>
      <c r="CR8" s="47">
        <f t="shared" si="1"/>
        <v>46160</v>
      </c>
      <c r="CS8" s="47">
        <f t="shared" si="1"/>
        <v>46161</v>
      </c>
      <c r="CT8" s="47">
        <f t="shared" si="1"/>
        <v>46162</v>
      </c>
      <c r="CU8" s="47">
        <f t="shared" si="1"/>
        <v>46163</v>
      </c>
      <c r="CV8" s="47">
        <f t="shared" si="1"/>
        <v>46164</v>
      </c>
      <c r="CW8" s="47">
        <f t="shared" si="1"/>
        <v>46165</v>
      </c>
      <c r="CX8" s="47">
        <f t="shared" si="1"/>
        <v>46166</v>
      </c>
      <c r="CY8" s="47">
        <f t="shared" si="1"/>
        <v>46167</v>
      </c>
      <c r="CZ8" s="47">
        <f t="shared" si="1"/>
        <v>46168</v>
      </c>
      <c r="DA8" s="47">
        <f t="shared" si="1"/>
        <v>46169</v>
      </c>
      <c r="DB8" s="47">
        <f t="shared" si="1"/>
        <v>46170</v>
      </c>
      <c r="DC8" s="47">
        <f t="shared" si="1"/>
        <v>46171</v>
      </c>
      <c r="DD8" s="47">
        <f t="shared" si="1"/>
        <v>46172</v>
      </c>
      <c r="DE8" s="47">
        <f t="shared" si="1"/>
        <v>46173</v>
      </c>
      <c r="DF8" s="47">
        <f t="shared" si="1"/>
        <v>46174</v>
      </c>
      <c r="DG8" s="47">
        <f t="shared" si="1"/>
        <v>46175</v>
      </c>
      <c r="DH8" s="47">
        <f t="shared" si="1"/>
        <v>46176</v>
      </c>
      <c r="DI8" s="47">
        <f t="shared" si="1"/>
        <v>46177</v>
      </c>
      <c r="DJ8" s="47">
        <f t="shared" si="1"/>
        <v>46178</v>
      </c>
      <c r="DK8" s="47">
        <f t="shared" si="1"/>
        <v>46179</v>
      </c>
      <c r="DL8" s="47">
        <f t="shared" si="1"/>
        <v>46180</v>
      </c>
      <c r="DM8" s="47">
        <f t="shared" si="1"/>
        <v>46181</v>
      </c>
      <c r="DN8" s="47">
        <f t="shared" si="1"/>
        <v>46182</v>
      </c>
      <c r="DO8" s="47">
        <f t="shared" si="1"/>
        <v>46183</v>
      </c>
      <c r="DP8" s="47">
        <f t="shared" si="1"/>
        <v>46184</v>
      </c>
      <c r="DQ8" s="47">
        <f t="shared" si="1"/>
        <v>46185</v>
      </c>
      <c r="DR8" s="47">
        <f t="shared" si="1"/>
        <v>46186</v>
      </c>
      <c r="DS8" s="47">
        <f t="shared" si="1"/>
        <v>46187</v>
      </c>
      <c r="DT8" s="47">
        <f t="shared" si="1"/>
        <v>46188</v>
      </c>
      <c r="DU8" s="47">
        <f t="shared" si="1"/>
        <v>46189</v>
      </c>
      <c r="DV8" s="47">
        <f t="shared" si="1"/>
        <v>46190</v>
      </c>
      <c r="DW8" s="47">
        <f t="shared" si="1"/>
        <v>46191</v>
      </c>
      <c r="DX8" s="47">
        <f t="shared" si="1"/>
        <v>46192</v>
      </c>
      <c r="DY8" s="47">
        <f t="shared" si="1"/>
        <v>46193</v>
      </c>
      <c r="DZ8" s="47">
        <f t="shared" si="1"/>
        <v>46194</v>
      </c>
      <c r="EA8" s="47">
        <f t="shared" si="1"/>
        <v>46195</v>
      </c>
      <c r="EB8" s="47">
        <f t="shared" si="1"/>
        <v>46196</v>
      </c>
      <c r="EC8" s="47">
        <f t="shared" si="1"/>
        <v>46197</v>
      </c>
      <c r="ED8" s="47">
        <f t="shared" si="1"/>
        <v>46198</v>
      </c>
      <c r="EE8" s="47">
        <f t="shared" si="1"/>
        <v>46199</v>
      </c>
      <c r="EF8" s="47">
        <f t="shared" si="1"/>
        <v>46200</v>
      </c>
      <c r="EG8" s="47">
        <f t="shared" si="1"/>
        <v>46201</v>
      </c>
      <c r="EH8" s="47">
        <f t="shared" si="1"/>
        <v>46202</v>
      </c>
    </row>
    <row r="9" spans="2:138" s="9" customFormat="1" ht="23.1" customHeight="1">
      <c r="B9" s="22" t="s">
        <v>28</v>
      </c>
      <c r="C9" s="192" t="s">
        <v>1</v>
      </c>
      <c r="D9" s="192"/>
      <c r="E9" s="22" t="s">
        <v>29</v>
      </c>
      <c r="F9" s="22" t="s">
        <v>3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3" t="s">
        <v>40</v>
      </c>
      <c r="R9" s="10" t="s">
        <v>41</v>
      </c>
      <c r="S9" s="32">
        <f>$G$6-WEEKDAY($G$6,1)+INDEX({1;2;3;4;5;6;7},MATCH($D$6,{"일요일";"월요일";"화요일";"수요일";"목요일";"금요일";"토요일"},0))</f>
        <v>46083</v>
      </c>
      <c r="T9" s="32">
        <f t="shared" si="1"/>
        <v>46084</v>
      </c>
      <c r="U9" s="32">
        <f t="shared" si="1"/>
        <v>46085</v>
      </c>
      <c r="V9" s="32">
        <f t="shared" si="1"/>
        <v>46086</v>
      </c>
      <c r="W9" s="32">
        <f t="shared" si="1"/>
        <v>46087</v>
      </c>
      <c r="X9" s="32">
        <f t="shared" si="1"/>
        <v>46088</v>
      </c>
      <c r="Y9" s="32">
        <f t="shared" si="1"/>
        <v>46089</v>
      </c>
      <c r="Z9" s="32">
        <f t="shared" si="1"/>
        <v>46090</v>
      </c>
      <c r="AA9" s="32">
        <f t="shared" si="1"/>
        <v>46091</v>
      </c>
      <c r="AB9" s="32">
        <f t="shared" si="1"/>
        <v>46092</v>
      </c>
      <c r="AC9" s="32">
        <f t="shared" si="1"/>
        <v>46093</v>
      </c>
      <c r="AD9" s="32">
        <f t="shared" si="1"/>
        <v>46094</v>
      </c>
      <c r="AE9" s="32">
        <f t="shared" si="1"/>
        <v>46095</v>
      </c>
      <c r="AF9" s="32">
        <f t="shared" si="1"/>
        <v>46096</v>
      </c>
      <c r="AG9" s="32">
        <f t="shared" si="1"/>
        <v>46097</v>
      </c>
      <c r="AH9" s="32">
        <f t="shared" si="1"/>
        <v>46098</v>
      </c>
      <c r="AI9" s="32">
        <f t="shared" si="1"/>
        <v>46099</v>
      </c>
      <c r="AJ9" s="32">
        <f t="shared" si="1"/>
        <v>46100</v>
      </c>
      <c r="AK9" s="32">
        <f t="shared" si="1"/>
        <v>46101</v>
      </c>
      <c r="AL9" s="32">
        <f t="shared" si="1"/>
        <v>46102</v>
      </c>
      <c r="AM9" s="32">
        <f t="shared" si="1"/>
        <v>46103</v>
      </c>
      <c r="AN9" s="32">
        <f t="shared" si="1"/>
        <v>46104</v>
      </c>
      <c r="AO9" s="32">
        <f t="shared" si="1"/>
        <v>46105</v>
      </c>
      <c r="AP9" s="32">
        <f t="shared" si="1"/>
        <v>46106</v>
      </c>
      <c r="AQ9" s="32">
        <f t="shared" si="1"/>
        <v>46107</v>
      </c>
      <c r="AR9" s="32">
        <f t="shared" si="1"/>
        <v>46108</v>
      </c>
      <c r="AS9" s="32">
        <f t="shared" si="1"/>
        <v>46109</v>
      </c>
      <c r="AT9" s="32">
        <f t="shared" si="1"/>
        <v>46110</v>
      </c>
      <c r="AU9" s="32">
        <f t="shared" si="1"/>
        <v>46111</v>
      </c>
      <c r="AV9" s="32">
        <f t="shared" si="1"/>
        <v>46112</v>
      </c>
      <c r="AW9" s="32">
        <f t="shared" si="1"/>
        <v>46113</v>
      </c>
      <c r="AX9" s="32">
        <f t="shared" si="1"/>
        <v>46114</v>
      </c>
      <c r="AY9" s="32">
        <f t="shared" si="1"/>
        <v>46115</v>
      </c>
      <c r="AZ9" s="32">
        <f t="shared" si="1"/>
        <v>46116</v>
      </c>
      <c r="BA9" s="32">
        <f t="shared" si="1"/>
        <v>46117</v>
      </c>
      <c r="BB9" s="32">
        <f t="shared" si="1"/>
        <v>46118</v>
      </c>
      <c r="BC9" s="32">
        <f t="shared" si="1"/>
        <v>46119</v>
      </c>
      <c r="BD9" s="32">
        <f t="shared" si="1"/>
        <v>46120</v>
      </c>
      <c r="BE9" s="32">
        <f t="shared" si="1"/>
        <v>46121</v>
      </c>
      <c r="BF9" s="32">
        <f t="shared" si="1"/>
        <v>46122</v>
      </c>
      <c r="BG9" s="32">
        <f t="shared" si="1"/>
        <v>46123</v>
      </c>
      <c r="BH9" s="32">
        <f t="shared" si="1"/>
        <v>46124</v>
      </c>
      <c r="BI9" s="32">
        <f t="shared" si="1"/>
        <v>46125</v>
      </c>
      <c r="BJ9" s="32">
        <f t="shared" si="1"/>
        <v>46126</v>
      </c>
      <c r="BK9" s="32">
        <f t="shared" si="1"/>
        <v>46127</v>
      </c>
      <c r="BL9" s="32">
        <f t="shared" si="1"/>
        <v>46128</v>
      </c>
      <c r="BM9" s="32">
        <f t="shared" si="1"/>
        <v>46129</v>
      </c>
      <c r="BN9" s="32">
        <f t="shared" si="1"/>
        <v>46130</v>
      </c>
      <c r="BO9" s="32">
        <f t="shared" si="1"/>
        <v>46131</v>
      </c>
      <c r="BP9" s="32">
        <f t="shared" si="1"/>
        <v>46132</v>
      </c>
      <c r="BQ9" s="32">
        <f t="shared" si="1"/>
        <v>46133</v>
      </c>
      <c r="BR9" s="32">
        <f t="shared" si="1"/>
        <v>46134</v>
      </c>
      <c r="BS9" s="32">
        <f t="shared" si="1"/>
        <v>46135</v>
      </c>
      <c r="BT9" s="32">
        <f t="shared" si="1"/>
        <v>46136</v>
      </c>
      <c r="BU9" s="32">
        <f t="shared" si="1"/>
        <v>46137</v>
      </c>
      <c r="BV9" s="32">
        <f t="shared" si="1"/>
        <v>46138</v>
      </c>
      <c r="BW9" s="32">
        <f t="shared" si="1"/>
        <v>46139</v>
      </c>
      <c r="BX9" s="32">
        <f t="shared" si="1"/>
        <v>46140</v>
      </c>
      <c r="BY9" s="32">
        <f t="shared" si="1"/>
        <v>46141</v>
      </c>
      <c r="BZ9" s="32">
        <f t="shared" si="1"/>
        <v>46142</v>
      </c>
      <c r="CA9" s="32">
        <f t="shared" si="1"/>
        <v>46143</v>
      </c>
      <c r="CB9" s="32">
        <f t="shared" si="1"/>
        <v>46144</v>
      </c>
      <c r="CC9" s="32">
        <f t="shared" si="1"/>
        <v>46145</v>
      </c>
      <c r="CD9" s="32">
        <f t="shared" si="1"/>
        <v>46146</v>
      </c>
      <c r="CE9" s="32">
        <f t="shared" si="1"/>
        <v>46147</v>
      </c>
      <c r="CF9" s="32">
        <f t="shared" si="1"/>
        <v>46148</v>
      </c>
      <c r="CG9" s="32">
        <f t="shared" si="1"/>
        <v>46149</v>
      </c>
      <c r="CH9" s="32">
        <f t="shared" si="1"/>
        <v>46150</v>
      </c>
      <c r="CI9" s="32">
        <f t="shared" si="1"/>
        <v>46151</v>
      </c>
      <c r="CJ9" s="32">
        <f t="shared" si="1"/>
        <v>46152</v>
      </c>
      <c r="CK9" s="32">
        <f t="shared" si="1"/>
        <v>46153</v>
      </c>
      <c r="CL9" s="32">
        <f t="shared" si="1"/>
        <v>46154</v>
      </c>
      <c r="CM9" s="32">
        <f t="shared" si="1"/>
        <v>46155</v>
      </c>
      <c r="CN9" s="32">
        <f t="shared" si="1"/>
        <v>46156</v>
      </c>
      <c r="CO9" s="32">
        <f t="shared" si="1"/>
        <v>46157</v>
      </c>
      <c r="CP9" s="32">
        <f t="shared" si="1"/>
        <v>46158</v>
      </c>
      <c r="CQ9" s="32">
        <f t="shared" si="1"/>
        <v>46159</v>
      </c>
      <c r="CR9" s="32">
        <f t="shared" si="1"/>
        <v>46160</v>
      </c>
      <c r="CS9" s="32">
        <f t="shared" si="1"/>
        <v>46161</v>
      </c>
      <c r="CT9" s="32">
        <f t="shared" si="1"/>
        <v>46162</v>
      </c>
      <c r="CU9" s="32">
        <f t="shared" si="1"/>
        <v>46163</v>
      </c>
      <c r="CV9" s="32">
        <f t="shared" si="1"/>
        <v>46164</v>
      </c>
      <c r="CW9" s="32">
        <f t="shared" si="1"/>
        <v>46165</v>
      </c>
      <c r="CX9" s="32">
        <f t="shared" si="1"/>
        <v>46166</v>
      </c>
      <c r="CY9" s="32">
        <f t="shared" si="1"/>
        <v>46167</v>
      </c>
      <c r="CZ9" s="32">
        <f t="shared" si="1"/>
        <v>46168</v>
      </c>
      <c r="DA9" s="32">
        <f t="shared" si="1"/>
        <v>46169</v>
      </c>
      <c r="DB9" s="32">
        <f t="shared" si="1"/>
        <v>46170</v>
      </c>
      <c r="DC9" s="32">
        <f t="shared" si="1"/>
        <v>46171</v>
      </c>
      <c r="DD9" s="32">
        <f t="shared" si="1"/>
        <v>46172</v>
      </c>
      <c r="DE9" s="32">
        <f t="shared" si="1"/>
        <v>46173</v>
      </c>
      <c r="DF9" s="32">
        <f t="shared" si="1"/>
        <v>46174</v>
      </c>
      <c r="DG9" s="32">
        <f t="shared" si="1"/>
        <v>46175</v>
      </c>
      <c r="DH9" s="32">
        <f t="shared" si="1"/>
        <v>46176</v>
      </c>
      <c r="DI9" s="32">
        <f t="shared" si="1"/>
        <v>46177</v>
      </c>
      <c r="DJ9" s="32">
        <f t="shared" si="1"/>
        <v>46178</v>
      </c>
      <c r="DK9" s="32">
        <f t="shared" si="1"/>
        <v>46179</v>
      </c>
      <c r="DL9" s="32">
        <f t="shared" si="1"/>
        <v>46180</v>
      </c>
      <c r="DM9" s="32">
        <f t="shared" si="1"/>
        <v>46181</v>
      </c>
      <c r="DN9" s="32">
        <f t="shared" si="1"/>
        <v>46182</v>
      </c>
      <c r="DO9" s="32">
        <f t="shared" si="1"/>
        <v>46183</v>
      </c>
      <c r="DP9" s="32">
        <f t="shared" si="1"/>
        <v>46184</v>
      </c>
      <c r="DQ9" s="32">
        <f t="shared" si="1"/>
        <v>46185</v>
      </c>
      <c r="DR9" s="32">
        <f t="shared" si="1"/>
        <v>46186</v>
      </c>
      <c r="DS9" s="32">
        <f t="shared" si="1"/>
        <v>46187</v>
      </c>
      <c r="DT9" s="32">
        <f t="shared" si="1"/>
        <v>46188</v>
      </c>
      <c r="DU9" s="32">
        <f t="shared" si="1"/>
        <v>46189</v>
      </c>
      <c r="DV9" s="32">
        <f t="shared" si="1"/>
        <v>46190</v>
      </c>
      <c r="DW9" s="32">
        <f t="shared" si="1"/>
        <v>46191</v>
      </c>
      <c r="DX9" s="32">
        <f t="shared" si="1"/>
        <v>46192</v>
      </c>
      <c r="DY9" s="32">
        <f t="shared" si="1"/>
        <v>46193</v>
      </c>
      <c r="DZ9" s="32">
        <f t="shared" si="1"/>
        <v>46194</v>
      </c>
      <c r="EA9" s="32">
        <f t="shared" si="1"/>
        <v>46195</v>
      </c>
      <c r="EB9" s="32">
        <f t="shared" si="1"/>
        <v>46196</v>
      </c>
      <c r="EC9" s="32">
        <f t="shared" si="1"/>
        <v>46197</v>
      </c>
      <c r="ED9" s="32">
        <f t="shared" si="1"/>
        <v>46198</v>
      </c>
      <c r="EE9" s="32">
        <f t="shared" si="1"/>
        <v>46199</v>
      </c>
      <c r="EF9" s="32">
        <f t="shared" si="1"/>
        <v>46200</v>
      </c>
      <c r="EG9" s="32">
        <f t="shared" si="1"/>
        <v>46201</v>
      </c>
      <c r="EH9" s="32">
        <f t="shared" si="1"/>
        <v>46202</v>
      </c>
    </row>
    <row r="10" spans="2:138" s="11" customFormat="1" ht="24.95" customHeight="1">
      <c r="B10" s="43">
        <v>1</v>
      </c>
      <c r="C10" s="65" t="s">
        <v>9</v>
      </c>
      <c r="D10" s="65"/>
      <c r="E10" s="87" t="s">
        <v>42</v>
      </c>
      <c r="F10" s="33">
        <f>MIN(F11:F17)</f>
        <v>0</v>
      </c>
      <c r="G10" s="33">
        <f>MAX(G11:G17)</f>
        <v>0</v>
      </c>
      <c r="H10" s="35" t="str">
        <f>IF(F10=0,"",G10-F10+1)</f>
        <v/>
      </c>
      <c r="I10" s="59" t="str">
        <f>IFERROR(SUMPRODUCT(H11:H17,I11:I17)/SUM(H11:H17),"")</f>
        <v/>
      </c>
      <c r="J10" s="33">
        <f>IF(MAX(J11:J17)="","",MAX(J11:J17))</f>
        <v>0</v>
      </c>
      <c r="K10" s="24">
        <f>J10-F10+1</f>
        <v>1</v>
      </c>
      <c r="L10" s="33"/>
      <c r="M10" s="35">
        <f>NETWORKDAYS(F10,G10)</f>
        <v>0</v>
      </c>
      <c r="N10" s="35">
        <f>NETWORKDAYS(F10,J10)</f>
        <v>0</v>
      </c>
      <c r="O10" s="35" t="str">
        <f>IFERROR(ROUNDDOWN(I10*H10,0),"")</f>
        <v/>
      </c>
      <c r="P10" s="35" t="str">
        <f>IFERROR(ROUNDDOWN(I10*K10,0),"")</f>
        <v/>
      </c>
      <c r="Q10" s="40" t="str">
        <f>IFERROR(H10-O10,"")</f>
        <v/>
      </c>
      <c r="R10" s="12" t="e">
        <f>K10-P10</f>
        <v>#VALUE!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</row>
    <row r="11" spans="2:138" s="11" customFormat="1" ht="22.35" customHeight="1">
      <c r="B11" s="45">
        <v>1.1000000000000001</v>
      </c>
      <c r="C11" s="63" t="s">
        <v>43</v>
      </c>
      <c r="D11" s="66"/>
      <c r="E11" s="25"/>
      <c r="F11" s="51"/>
      <c r="G11" s="51"/>
      <c r="H11" s="36" t="str">
        <f t="shared" ref="H11:H17" si="2">IF(F11="","",G11-F11+1)</f>
        <v/>
      </c>
      <c r="I11" s="58">
        <v>0</v>
      </c>
      <c r="J11" s="86">
        <f>G11</f>
        <v>0</v>
      </c>
      <c r="K11" s="37" t="str">
        <f t="shared" ref="K11:K17" si="3">IF(F11="","",J11-F11+1)</f>
        <v/>
      </c>
      <c r="L11" s="69" t="str">
        <f>IF(J11&gt;G11,J11-G11,"")</f>
        <v/>
      </c>
      <c r="M11" s="39">
        <f>NETWORKDAYS(F11,G11)</f>
        <v>0</v>
      </c>
      <c r="N11" s="39">
        <f>NETWORKDAYS(F11,J11)</f>
        <v>0</v>
      </c>
      <c r="O11" s="41" t="str">
        <f>IFERROR(ROUNDDOWN(I11*H11,0),"")</f>
        <v/>
      </c>
      <c r="P11" s="39" t="str">
        <f>IFERROR(ROUNDDOWN(I11*K11,0),"")</f>
        <v/>
      </c>
      <c r="Q11" s="52" t="str">
        <f>IFERROR(K11-P11,"")</f>
        <v/>
      </c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</row>
    <row r="12" spans="2:138" s="11" customFormat="1" ht="22.35" customHeight="1">
      <c r="B12" s="46">
        <v>1.2</v>
      </c>
      <c r="C12" s="62" t="s">
        <v>44</v>
      </c>
      <c r="D12" s="64"/>
      <c r="E12" s="25"/>
      <c r="F12" s="51"/>
      <c r="G12" s="51"/>
      <c r="H12" s="37" t="str">
        <f t="shared" si="2"/>
        <v/>
      </c>
      <c r="I12" s="58">
        <v>0</v>
      </c>
      <c r="J12" s="86">
        <f t="shared" ref="J12:J17" si="4">G12</f>
        <v>0</v>
      </c>
      <c r="K12" s="37" t="str">
        <f t="shared" si="3"/>
        <v/>
      </c>
      <c r="L12" s="69" t="str">
        <f t="shared" ref="L12:L32" si="5">IF(J12&gt;G12,J12-G12,"")</f>
        <v/>
      </c>
      <c r="M12" s="39">
        <f>NETWORKDAYS(F12,G12)</f>
        <v>0</v>
      </c>
      <c r="N12" s="39">
        <f>NETWORKDAYS(F12,J12)</f>
        <v>0</v>
      </c>
      <c r="O12" s="41" t="str">
        <f>IFERROR(ROUNDDOWN(I12*H12,0),"")</f>
        <v/>
      </c>
      <c r="P12" s="39" t="str">
        <f>IFERROR(ROUNDDOWN(I12*K12,0),"")</f>
        <v/>
      </c>
      <c r="Q12" s="52" t="str">
        <f>IFERROR(K12-P12,"")</f>
        <v/>
      </c>
      <c r="R12" s="16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</row>
    <row r="13" spans="2:138" s="11" customFormat="1" ht="22.35" customHeight="1">
      <c r="B13" s="45">
        <v>1.3000000000000009</v>
      </c>
      <c r="C13" s="62" t="s">
        <v>45</v>
      </c>
      <c r="D13" s="64"/>
      <c r="E13" s="25"/>
      <c r="F13" s="51"/>
      <c r="G13" s="51"/>
      <c r="H13" s="37" t="str">
        <f t="shared" si="2"/>
        <v/>
      </c>
      <c r="I13" s="58">
        <v>0</v>
      </c>
      <c r="J13" s="86">
        <f t="shared" si="4"/>
        <v>0</v>
      </c>
      <c r="K13" s="37" t="str">
        <f t="shared" si="3"/>
        <v/>
      </c>
      <c r="L13" s="69" t="str">
        <f t="shared" si="5"/>
        <v/>
      </c>
      <c r="M13" s="39">
        <f t="shared" ref="M13:M17" si="6">NETWORKDAYS(F13,G13)</f>
        <v>0</v>
      </c>
      <c r="N13" s="39">
        <f t="shared" ref="N13:N17" si="7">NETWORKDAYS(F13,J13)</f>
        <v>0</v>
      </c>
      <c r="O13" s="41" t="str">
        <f t="shared" ref="O13:O17" si="8">IFERROR(ROUNDDOWN(I13*H13,0),"")</f>
        <v/>
      </c>
      <c r="P13" s="39" t="str">
        <f t="shared" ref="P13:P17" si="9">IFERROR(ROUNDDOWN(I13*K13,0),"")</f>
        <v/>
      </c>
      <c r="Q13" s="52" t="str">
        <f t="shared" ref="Q13:Q17" si="10">IFERROR(K13-P13,"")</f>
        <v/>
      </c>
      <c r="R13" s="1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</row>
    <row r="14" spans="2:138" s="11" customFormat="1" ht="22.35" customHeight="1">
      <c r="B14" s="46">
        <v>1.4000000000000017</v>
      </c>
      <c r="C14" s="62" t="s">
        <v>72</v>
      </c>
      <c r="D14" s="64"/>
      <c r="E14" s="25"/>
      <c r="F14" s="51"/>
      <c r="G14" s="51"/>
      <c r="H14" s="37" t="str">
        <f t="shared" si="2"/>
        <v/>
      </c>
      <c r="I14" s="58">
        <v>0</v>
      </c>
      <c r="J14" s="86">
        <f t="shared" si="4"/>
        <v>0</v>
      </c>
      <c r="K14" s="37" t="str">
        <f t="shared" si="3"/>
        <v/>
      </c>
      <c r="L14" s="69" t="str">
        <f t="shared" si="5"/>
        <v/>
      </c>
      <c r="M14" s="39">
        <f t="shared" si="6"/>
        <v>0</v>
      </c>
      <c r="N14" s="39">
        <f t="shared" si="7"/>
        <v>0</v>
      </c>
      <c r="O14" s="41" t="str">
        <f t="shared" si="8"/>
        <v/>
      </c>
      <c r="P14" s="39" t="str">
        <f t="shared" si="9"/>
        <v/>
      </c>
      <c r="Q14" s="52" t="str">
        <f t="shared" si="10"/>
        <v/>
      </c>
      <c r="R14" s="16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</row>
    <row r="15" spans="2:138" s="11" customFormat="1" ht="22.35" customHeight="1">
      <c r="B15" s="45">
        <v>1.5000000000000027</v>
      </c>
      <c r="C15" s="62" t="s">
        <v>101</v>
      </c>
      <c r="D15" s="64"/>
      <c r="E15" s="25"/>
      <c r="F15" s="51"/>
      <c r="G15" s="51"/>
      <c r="H15" s="37" t="str">
        <f t="shared" si="2"/>
        <v/>
      </c>
      <c r="I15" s="58">
        <v>0</v>
      </c>
      <c r="J15" s="86">
        <f t="shared" si="4"/>
        <v>0</v>
      </c>
      <c r="K15" s="37" t="str">
        <f t="shared" si="3"/>
        <v/>
      </c>
      <c r="L15" s="69" t="str">
        <f t="shared" si="5"/>
        <v/>
      </c>
      <c r="M15" s="39">
        <f t="shared" si="6"/>
        <v>0</v>
      </c>
      <c r="N15" s="39">
        <f t="shared" si="7"/>
        <v>0</v>
      </c>
      <c r="O15" s="41" t="str">
        <f t="shared" si="8"/>
        <v/>
      </c>
      <c r="P15" s="39" t="str">
        <f t="shared" si="9"/>
        <v/>
      </c>
      <c r="Q15" s="52" t="str">
        <f t="shared" si="10"/>
        <v/>
      </c>
      <c r="R15" s="16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</row>
    <row r="16" spans="2:138" s="11" customFormat="1" ht="22.35" customHeight="1">
      <c r="B16" s="46">
        <v>1.6000000000000034</v>
      </c>
      <c r="C16" s="62" t="s">
        <v>47</v>
      </c>
      <c r="D16" s="64"/>
      <c r="E16" s="25"/>
      <c r="F16" s="51"/>
      <c r="G16" s="51"/>
      <c r="H16" s="37" t="str">
        <f t="shared" si="2"/>
        <v/>
      </c>
      <c r="I16" s="58">
        <v>0</v>
      </c>
      <c r="J16" s="86">
        <f t="shared" si="4"/>
        <v>0</v>
      </c>
      <c r="K16" s="37" t="str">
        <f t="shared" si="3"/>
        <v/>
      </c>
      <c r="L16" s="69" t="str">
        <f t="shared" si="5"/>
        <v/>
      </c>
      <c r="M16" s="39">
        <f t="shared" si="6"/>
        <v>0</v>
      </c>
      <c r="N16" s="39">
        <f t="shared" si="7"/>
        <v>0</v>
      </c>
      <c r="O16" s="41" t="str">
        <f t="shared" si="8"/>
        <v/>
      </c>
      <c r="P16" s="39" t="str">
        <f t="shared" si="9"/>
        <v/>
      </c>
      <c r="Q16" s="52" t="str">
        <f t="shared" si="10"/>
        <v/>
      </c>
      <c r="R16" s="16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</row>
    <row r="17" spans="2:138" s="11" customFormat="1" ht="22.35" customHeight="1">
      <c r="B17" s="45">
        <v>1.7000000000000042</v>
      </c>
      <c r="C17" s="79" t="s">
        <v>102</v>
      </c>
      <c r="D17" s="80"/>
      <c r="E17" s="81"/>
      <c r="F17" s="51"/>
      <c r="G17" s="73"/>
      <c r="H17" s="82" t="str">
        <f t="shared" si="2"/>
        <v/>
      </c>
      <c r="I17" s="75">
        <v>0</v>
      </c>
      <c r="J17" s="86">
        <f t="shared" si="4"/>
        <v>0</v>
      </c>
      <c r="K17" s="82" t="str">
        <f t="shared" si="3"/>
        <v/>
      </c>
      <c r="L17" s="76" t="str">
        <f t="shared" si="5"/>
        <v/>
      </c>
      <c r="M17" s="83">
        <f t="shared" si="6"/>
        <v>0</v>
      </c>
      <c r="N17" s="83">
        <f t="shared" si="7"/>
        <v>0</v>
      </c>
      <c r="O17" s="84" t="str">
        <f t="shared" si="8"/>
        <v/>
      </c>
      <c r="P17" s="83" t="str">
        <f t="shared" si="9"/>
        <v/>
      </c>
      <c r="Q17" s="85" t="str">
        <f t="shared" si="10"/>
        <v/>
      </c>
      <c r="R17" s="16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</row>
    <row r="18" spans="2:138" s="11" customFormat="1" ht="24.95" customHeight="1">
      <c r="B18" s="44">
        <v>2</v>
      </c>
      <c r="C18" s="67" t="s">
        <v>10</v>
      </c>
      <c r="D18" s="67"/>
      <c r="E18" s="88" t="s">
        <v>42</v>
      </c>
      <c r="F18" s="34">
        <f>MIN(F19:F25)</f>
        <v>0</v>
      </c>
      <c r="G18" s="34">
        <f>MAX(G19:G25)</f>
        <v>0</v>
      </c>
      <c r="H18" s="38" t="str">
        <f>IF(F18=0,"",G18-F18+1)</f>
        <v/>
      </c>
      <c r="I18" s="60" t="str">
        <f>IFERROR(SUMPRODUCT(H19:H25,I19:I25)/SUM(H19:H25),"")</f>
        <v/>
      </c>
      <c r="J18" s="34">
        <f>IF(MAX(J19:J25)="","",MAX(J19:J25))</f>
        <v>0</v>
      </c>
      <c r="K18" s="26">
        <f>J18-F18+1</f>
        <v>1</v>
      </c>
      <c r="L18" s="34"/>
      <c r="M18" s="38">
        <f>NETWORKDAYS(F18,G18)</f>
        <v>0</v>
      </c>
      <c r="N18" s="38">
        <f>NETWORKDAYS(F18,J18)</f>
        <v>0</v>
      </c>
      <c r="O18" s="38" t="str">
        <f>IFERROR(ROUNDDOWN(I18*H18,0),"")</f>
        <v/>
      </c>
      <c r="P18" s="38" t="str">
        <f>IFERROR(ROUNDDOWN(I18*K18,0),"")</f>
        <v/>
      </c>
      <c r="Q18" s="42" t="str">
        <f>IFERROR(H18-O18,"")</f>
        <v/>
      </c>
      <c r="R18" s="18" t="e">
        <f>K18-P18</f>
        <v>#VALUE!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</row>
    <row r="19" spans="2:138" s="11" customFormat="1" ht="22.35" customHeight="1">
      <c r="B19" s="45">
        <v>2.1</v>
      </c>
      <c r="C19" s="63" t="s">
        <v>103</v>
      </c>
      <c r="D19" s="66"/>
      <c r="E19" s="25"/>
      <c r="F19" s="51"/>
      <c r="G19" s="51"/>
      <c r="H19" s="36" t="str">
        <f t="shared" ref="H19:H25" si="11">IF(F19="","",G19-F19+1)</f>
        <v/>
      </c>
      <c r="I19" s="58">
        <v>0</v>
      </c>
      <c r="J19" s="86">
        <f>G19</f>
        <v>0</v>
      </c>
      <c r="K19" s="37" t="str">
        <f>IF(F19="","",J19-F19+1)</f>
        <v/>
      </c>
      <c r="L19" s="69" t="str">
        <f t="shared" si="5"/>
        <v/>
      </c>
      <c r="M19" s="39">
        <f t="shared" ref="M19:M25" si="12">NETWORKDAYS(F19,G19)</f>
        <v>0</v>
      </c>
      <c r="N19" s="39">
        <f t="shared" ref="N19:N25" si="13">NETWORKDAYS(F19,J19)</f>
        <v>0</v>
      </c>
      <c r="O19" s="41" t="str">
        <f t="shared" ref="O19:O25" si="14">IFERROR(ROUNDDOWN(I19*H19,0),"")</f>
        <v/>
      </c>
      <c r="P19" s="39" t="str">
        <f t="shared" ref="P19:P25" si="15">IFERROR(ROUNDDOWN(I19*K19,0),"")</f>
        <v/>
      </c>
      <c r="Q19" s="52" t="str">
        <f t="shared" ref="Q19:Q25" si="16">IFERROR(K19-P19,"")</f>
        <v/>
      </c>
      <c r="R19" s="16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</row>
    <row r="20" spans="2:138" s="11" customFormat="1" ht="22.35" customHeight="1">
      <c r="B20" s="46">
        <v>2.2000000000000002</v>
      </c>
      <c r="C20" s="70" t="s">
        <v>104</v>
      </c>
      <c r="D20" s="68"/>
      <c r="E20" s="25"/>
      <c r="F20" s="51"/>
      <c r="G20" s="51"/>
      <c r="H20" s="36" t="str">
        <f t="shared" si="11"/>
        <v/>
      </c>
      <c r="I20" s="58">
        <v>0</v>
      </c>
      <c r="J20" s="86">
        <f t="shared" ref="J20:J25" si="17">G20</f>
        <v>0</v>
      </c>
      <c r="K20" s="37" t="str">
        <f t="shared" ref="K20:K25" si="18">IF(F20="","",J20-F20+1)</f>
        <v/>
      </c>
      <c r="L20" s="69"/>
      <c r="M20" s="39"/>
      <c r="N20" s="39">
        <f t="shared" si="13"/>
        <v>0</v>
      </c>
      <c r="O20" s="41" t="str">
        <f t="shared" si="14"/>
        <v/>
      </c>
      <c r="P20" s="39" t="str">
        <f t="shared" si="15"/>
        <v/>
      </c>
      <c r="Q20" s="52" t="str">
        <f t="shared" si="16"/>
        <v/>
      </c>
      <c r="R20" s="16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</row>
    <row r="21" spans="2:138" s="11" customFormat="1" ht="22.35" customHeight="1">
      <c r="B21" s="45">
        <v>2.2999999999999998</v>
      </c>
      <c r="C21" s="70" t="s">
        <v>105</v>
      </c>
      <c r="D21" s="68"/>
      <c r="E21" s="25"/>
      <c r="F21" s="51"/>
      <c r="G21" s="51"/>
      <c r="H21" s="36" t="str">
        <f t="shared" si="11"/>
        <v/>
      </c>
      <c r="I21" s="58">
        <v>0</v>
      </c>
      <c r="J21" s="86">
        <f t="shared" si="17"/>
        <v>0</v>
      </c>
      <c r="K21" s="37" t="str">
        <f t="shared" si="18"/>
        <v/>
      </c>
      <c r="L21" s="69"/>
      <c r="M21" s="39"/>
      <c r="N21" s="39">
        <f t="shared" si="13"/>
        <v>0</v>
      </c>
      <c r="O21" s="41" t="str">
        <f t="shared" si="14"/>
        <v/>
      </c>
      <c r="P21" s="39" t="str">
        <f t="shared" si="15"/>
        <v/>
      </c>
      <c r="Q21" s="52" t="str">
        <f t="shared" si="16"/>
        <v/>
      </c>
      <c r="R21" s="16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</row>
    <row r="22" spans="2:138" s="11" customFormat="1" ht="22.35" customHeight="1">
      <c r="B22" s="46">
        <v>2.4</v>
      </c>
      <c r="C22" s="89" t="s">
        <v>106</v>
      </c>
      <c r="D22" s="64"/>
      <c r="E22" s="25"/>
      <c r="F22" s="51"/>
      <c r="G22" s="51"/>
      <c r="H22" s="37" t="str">
        <f t="shared" si="11"/>
        <v/>
      </c>
      <c r="I22" s="58">
        <v>0</v>
      </c>
      <c r="J22" s="86">
        <f t="shared" si="17"/>
        <v>0</v>
      </c>
      <c r="K22" s="37" t="str">
        <f t="shared" si="18"/>
        <v/>
      </c>
      <c r="L22" s="69" t="str">
        <f t="shared" si="5"/>
        <v/>
      </c>
      <c r="M22" s="39">
        <f t="shared" si="12"/>
        <v>0</v>
      </c>
      <c r="N22" s="39">
        <f t="shared" si="13"/>
        <v>0</v>
      </c>
      <c r="O22" s="41" t="str">
        <f t="shared" si="14"/>
        <v/>
      </c>
      <c r="P22" s="39" t="str">
        <f t="shared" si="15"/>
        <v/>
      </c>
      <c r="Q22" s="52" t="str">
        <f t="shared" si="16"/>
        <v/>
      </c>
      <c r="R22" s="16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</row>
    <row r="23" spans="2:138" s="11" customFormat="1" ht="22.35" customHeight="1">
      <c r="B23" s="45">
        <v>2.5</v>
      </c>
      <c r="C23" s="62" t="s">
        <v>79</v>
      </c>
      <c r="D23" s="64"/>
      <c r="E23" s="25"/>
      <c r="F23" s="51"/>
      <c r="G23" s="51"/>
      <c r="H23" s="37" t="str">
        <f t="shared" si="11"/>
        <v/>
      </c>
      <c r="I23" s="58">
        <v>0</v>
      </c>
      <c r="J23" s="86">
        <f t="shared" si="17"/>
        <v>0</v>
      </c>
      <c r="K23" s="37" t="str">
        <f t="shared" si="18"/>
        <v/>
      </c>
      <c r="L23" s="69" t="str">
        <f t="shared" si="5"/>
        <v/>
      </c>
      <c r="M23" s="39">
        <f t="shared" si="12"/>
        <v>0</v>
      </c>
      <c r="N23" s="39">
        <f t="shared" si="13"/>
        <v>0</v>
      </c>
      <c r="O23" s="41" t="str">
        <f t="shared" si="14"/>
        <v/>
      </c>
      <c r="P23" s="39" t="str">
        <f t="shared" si="15"/>
        <v/>
      </c>
      <c r="Q23" s="52" t="str">
        <f t="shared" si="16"/>
        <v/>
      </c>
      <c r="R23" s="16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</row>
    <row r="24" spans="2:138" s="11" customFormat="1" ht="22.35" customHeight="1">
      <c r="B24" s="46">
        <v>2.6</v>
      </c>
      <c r="C24" s="62" t="s">
        <v>80</v>
      </c>
      <c r="D24" s="64"/>
      <c r="E24" s="25"/>
      <c r="F24" s="51"/>
      <c r="G24" s="51"/>
      <c r="H24" s="37" t="str">
        <f t="shared" si="11"/>
        <v/>
      </c>
      <c r="I24" s="58">
        <v>0</v>
      </c>
      <c r="J24" s="86">
        <f t="shared" si="17"/>
        <v>0</v>
      </c>
      <c r="K24" s="37" t="str">
        <f t="shared" si="18"/>
        <v/>
      </c>
      <c r="L24" s="69" t="str">
        <f t="shared" si="5"/>
        <v/>
      </c>
      <c r="M24" s="39">
        <f t="shared" si="12"/>
        <v>0</v>
      </c>
      <c r="N24" s="39">
        <f t="shared" si="13"/>
        <v>0</v>
      </c>
      <c r="O24" s="41" t="str">
        <f t="shared" si="14"/>
        <v/>
      </c>
      <c r="P24" s="39" t="str">
        <f t="shared" si="15"/>
        <v/>
      </c>
      <c r="Q24" s="52" t="str">
        <f t="shared" si="16"/>
        <v/>
      </c>
      <c r="R24" s="16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</row>
    <row r="25" spans="2:138" s="11" customFormat="1" ht="22.35" customHeight="1">
      <c r="B25" s="45">
        <v>2.7</v>
      </c>
      <c r="C25" s="62" t="s">
        <v>107</v>
      </c>
      <c r="D25" s="64"/>
      <c r="E25" s="25"/>
      <c r="F25" s="51"/>
      <c r="G25" s="51"/>
      <c r="H25" s="37" t="str">
        <f t="shared" si="11"/>
        <v/>
      </c>
      <c r="I25" s="58">
        <v>0</v>
      </c>
      <c r="J25" s="86">
        <f t="shared" si="17"/>
        <v>0</v>
      </c>
      <c r="K25" s="37" t="str">
        <f t="shared" si="18"/>
        <v/>
      </c>
      <c r="L25" s="69" t="str">
        <f t="shared" si="5"/>
        <v/>
      </c>
      <c r="M25" s="39">
        <f t="shared" si="12"/>
        <v>0</v>
      </c>
      <c r="N25" s="39">
        <f t="shared" si="13"/>
        <v>0</v>
      </c>
      <c r="O25" s="41" t="str">
        <f t="shared" si="14"/>
        <v/>
      </c>
      <c r="P25" s="39" t="str">
        <f t="shared" si="15"/>
        <v/>
      </c>
      <c r="Q25" s="52" t="str">
        <f t="shared" si="16"/>
        <v/>
      </c>
      <c r="R25" s="16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</row>
    <row r="26" spans="2:138" s="11" customFormat="1" ht="24.95" customHeight="1">
      <c r="B26" s="44">
        <v>3</v>
      </c>
      <c r="C26" s="67" t="s">
        <v>12</v>
      </c>
      <c r="D26" s="67"/>
      <c r="E26" s="88" t="s">
        <v>42</v>
      </c>
      <c r="F26" s="34">
        <f>MIN(F27:F32)</f>
        <v>0</v>
      </c>
      <c r="G26" s="34">
        <f>MAX(G27:G32)</f>
        <v>0</v>
      </c>
      <c r="H26" s="38" t="str">
        <f>IF(F26=0,"",G26-F26+1)</f>
        <v/>
      </c>
      <c r="I26" s="60" t="str">
        <f>IFERROR(SUMPRODUCT(H27:H32,I27:I32)/SUM(H27:H32),"")</f>
        <v/>
      </c>
      <c r="J26" s="34">
        <f>IF(MAX(J27:J32)="","",MAX(J27:J32))</f>
        <v>0</v>
      </c>
      <c r="K26" s="26">
        <f>J26-F26+1</f>
        <v>1</v>
      </c>
      <c r="L26" s="34"/>
      <c r="M26" s="38">
        <f>NETWORKDAYS(F26,G26)</f>
        <v>0</v>
      </c>
      <c r="N26" s="38">
        <f>NETWORKDAYS(F26,J26)</f>
        <v>0</v>
      </c>
      <c r="O26" s="38" t="str">
        <f>IFERROR(ROUNDDOWN(I26*H26,0),"")</f>
        <v/>
      </c>
      <c r="P26" s="38" t="str">
        <f>IFERROR(ROUNDDOWN(I26*K26,0),"")</f>
        <v/>
      </c>
      <c r="Q26" s="42" t="str">
        <f>IFERROR(H26-O26,"")</f>
        <v/>
      </c>
      <c r="R26" s="18" t="e">
        <f>K26-P26</f>
        <v>#VALUE!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</row>
    <row r="27" spans="2:138" s="11" customFormat="1" ht="22.35" customHeight="1">
      <c r="B27" s="45">
        <v>3.1</v>
      </c>
      <c r="C27" s="63" t="s">
        <v>108</v>
      </c>
      <c r="D27" s="66"/>
      <c r="E27" s="25"/>
      <c r="F27" s="51"/>
      <c r="G27" s="51"/>
      <c r="H27" s="36" t="str">
        <f t="shared" ref="H27:H32" si="19">IF(F27="","",G27-F27+1)</f>
        <v/>
      </c>
      <c r="I27" s="58">
        <v>0</v>
      </c>
      <c r="J27" s="86">
        <f>G27</f>
        <v>0</v>
      </c>
      <c r="K27" s="37" t="str">
        <f>IF(F27="","",J27-F27+1)</f>
        <v/>
      </c>
      <c r="L27" s="69" t="str">
        <f t="shared" si="5"/>
        <v/>
      </c>
      <c r="M27" s="39">
        <f t="shared" ref="M27:M32" si="20">NETWORKDAYS(F27,G27)</f>
        <v>0</v>
      </c>
      <c r="N27" s="39">
        <f t="shared" ref="N27:N32" si="21">NETWORKDAYS(F27,J27)</f>
        <v>0</v>
      </c>
      <c r="O27" s="41" t="str">
        <f t="shared" ref="O27:O32" si="22">IFERROR(ROUNDDOWN(I27*H27,0),"")</f>
        <v/>
      </c>
      <c r="P27" s="39" t="str">
        <f t="shared" ref="P27:P32" si="23">IFERROR(ROUNDDOWN(I27*K27,0),"")</f>
        <v/>
      </c>
      <c r="Q27" s="52" t="str">
        <f t="shared" ref="Q27:Q32" si="24">IFERROR(K27-P27,"")</f>
        <v/>
      </c>
      <c r="R27" s="16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</row>
    <row r="28" spans="2:138" s="11" customFormat="1" ht="22.35" customHeight="1">
      <c r="B28" s="46">
        <v>2.2000000000000002</v>
      </c>
      <c r="C28" s="62" t="s">
        <v>109</v>
      </c>
      <c r="D28" s="64"/>
      <c r="E28" s="25"/>
      <c r="F28" s="51"/>
      <c r="G28" s="51"/>
      <c r="H28" s="37" t="str">
        <f t="shared" si="19"/>
        <v/>
      </c>
      <c r="I28" s="58">
        <v>0</v>
      </c>
      <c r="J28" s="86">
        <f t="shared" ref="J28:J32" si="25">G28</f>
        <v>0</v>
      </c>
      <c r="K28" s="37" t="str">
        <f t="shared" ref="K28:K32" si="26">IF(F28="","",J28-F28+1)</f>
        <v/>
      </c>
      <c r="L28" s="69" t="str">
        <f t="shared" si="5"/>
        <v/>
      </c>
      <c r="M28" s="39">
        <f t="shared" si="20"/>
        <v>0</v>
      </c>
      <c r="N28" s="39">
        <f t="shared" si="21"/>
        <v>0</v>
      </c>
      <c r="O28" s="41" t="str">
        <f t="shared" si="22"/>
        <v/>
      </c>
      <c r="P28" s="39" t="str">
        <f t="shared" si="23"/>
        <v/>
      </c>
      <c r="Q28" s="52" t="str">
        <f t="shared" si="24"/>
        <v/>
      </c>
      <c r="R28" s="16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</row>
    <row r="29" spans="2:138" s="11" customFormat="1" ht="22.35" customHeight="1">
      <c r="B29" s="46">
        <v>2.2999999999999998</v>
      </c>
      <c r="C29" s="62" t="s">
        <v>110</v>
      </c>
      <c r="D29" s="64"/>
      <c r="E29" s="25"/>
      <c r="F29" s="51"/>
      <c r="G29" s="51"/>
      <c r="H29" s="37" t="str">
        <f t="shared" si="19"/>
        <v/>
      </c>
      <c r="I29" s="58">
        <v>0</v>
      </c>
      <c r="J29" s="86">
        <f t="shared" si="25"/>
        <v>0</v>
      </c>
      <c r="K29" s="37" t="str">
        <f t="shared" si="26"/>
        <v/>
      </c>
      <c r="L29" s="69" t="str">
        <f t="shared" si="5"/>
        <v/>
      </c>
      <c r="M29" s="39">
        <f t="shared" si="20"/>
        <v>0</v>
      </c>
      <c r="N29" s="39">
        <f t="shared" si="21"/>
        <v>0</v>
      </c>
      <c r="O29" s="41" t="str">
        <f t="shared" si="22"/>
        <v/>
      </c>
      <c r="P29" s="39" t="str">
        <f t="shared" si="23"/>
        <v/>
      </c>
      <c r="Q29" s="52" t="str">
        <f t="shared" si="24"/>
        <v/>
      </c>
      <c r="R29" s="16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</row>
    <row r="30" spans="2:138" s="11" customFormat="1" ht="22.35" customHeight="1">
      <c r="B30" s="46">
        <v>2.4000000000000004</v>
      </c>
      <c r="C30" s="62" t="s">
        <v>111</v>
      </c>
      <c r="D30" s="64"/>
      <c r="E30" s="25"/>
      <c r="F30" s="51"/>
      <c r="G30" s="51"/>
      <c r="H30" s="37" t="str">
        <f t="shared" si="19"/>
        <v/>
      </c>
      <c r="I30" s="58">
        <v>0</v>
      </c>
      <c r="J30" s="86">
        <f t="shared" si="25"/>
        <v>0</v>
      </c>
      <c r="K30" s="37" t="str">
        <f t="shared" si="26"/>
        <v/>
      </c>
      <c r="L30" s="69" t="str">
        <f t="shared" si="5"/>
        <v/>
      </c>
      <c r="M30" s="39">
        <f t="shared" si="20"/>
        <v>0</v>
      </c>
      <c r="N30" s="39">
        <f t="shared" si="21"/>
        <v>0</v>
      </c>
      <c r="O30" s="41" t="str">
        <f t="shared" si="22"/>
        <v/>
      </c>
      <c r="P30" s="39" t="str">
        <f t="shared" si="23"/>
        <v/>
      </c>
      <c r="Q30" s="52" t="str">
        <f t="shared" si="24"/>
        <v/>
      </c>
      <c r="R30" s="16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</row>
    <row r="31" spans="2:138" s="11" customFormat="1" ht="22.35" customHeight="1">
      <c r="B31" s="46">
        <v>2.5</v>
      </c>
      <c r="C31" s="62" t="s">
        <v>112</v>
      </c>
      <c r="D31" s="64"/>
      <c r="E31" s="25"/>
      <c r="F31" s="51"/>
      <c r="G31" s="51"/>
      <c r="H31" s="37" t="str">
        <f t="shared" si="19"/>
        <v/>
      </c>
      <c r="I31" s="58">
        <v>0</v>
      </c>
      <c r="J31" s="86">
        <f t="shared" si="25"/>
        <v>0</v>
      </c>
      <c r="K31" s="37" t="str">
        <f t="shared" si="26"/>
        <v/>
      </c>
      <c r="L31" s="69" t="str">
        <f t="shared" si="5"/>
        <v/>
      </c>
      <c r="M31" s="39">
        <f t="shared" si="20"/>
        <v>0</v>
      </c>
      <c r="N31" s="39">
        <f t="shared" si="21"/>
        <v>0</v>
      </c>
      <c r="O31" s="41" t="str">
        <f t="shared" si="22"/>
        <v/>
      </c>
      <c r="P31" s="39" t="str">
        <f t="shared" si="23"/>
        <v/>
      </c>
      <c r="Q31" s="52" t="str">
        <f t="shared" si="24"/>
        <v/>
      </c>
      <c r="R31" s="16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</row>
    <row r="32" spans="2:138" s="11" customFormat="1" ht="22.35" customHeight="1">
      <c r="B32" s="46">
        <v>2.6</v>
      </c>
      <c r="C32" s="62" t="s">
        <v>113</v>
      </c>
      <c r="D32" s="64"/>
      <c r="E32" s="25"/>
      <c r="F32" s="51"/>
      <c r="G32" s="51"/>
      <c r="H32" s="37" t="str">
        <f t="shared" si="19"/>
        <v/>
      </c>
      <c r="I32" s="58">
        <v>0</v>
      </c>
      <c r="J32" s="86">
        <f t="shared" si="25"/>
        <v>0</v>
      </c>
      <c r="K32" s="37" t="str">
        <f t="shared" si="26"/>
        <v/>
      </c>
      <c r="L32" s="69" t="str">
        <f t="shared" si="5"/>
        <v/>
      </c>
      <c r="M32" s="39">
        <f t="shared" si="20"/>
        <v>0</v>
      </c>
      <c r="N32" s="39">
        <f t="shared" si="21"/>
        <v>0</v>
      </c>
      <c r="O32" s="41" t="str">
        <f t="shared" si="22"/>
        <v/>
      </c>
      <c r="P32" s="39" t="str">
        <f t="shared" si="23"/>
        <v/>
      </c>
      <c r="Q32" s="52" t="str">
        <f t="shared" si="24"/>
        <v/>
      </c>
      <c r="R32" s="16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</row>
  </sheetData>
  <mergeCells count="8">
    <mergeCell ref="AJ4:AL4"/>
    <mergeCell ref="D6:E6"/>
    <mergeCell ref="C9:D9"/>
    <mergeCell ref="D4:E4"/>
    <mergeCell ref="T4:V4"/>
    <mergeCell ref="X4:Z4"/>
    <mergeCell ref="AB4:AD4"/>
    <mergeCell ref="AF4:AH4"/>
  </mergeCells>
  <phoneticPr fontId="39" type="noConversion"/>
  <conditionalFormatting sqref="I10">
    <cfRule type="dataBar" priority="15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{25B96DCF-A3FC-4E4C-9832-13E3931D7227}</x14:id>
        </ext>
      </extLst>
    </cfRule>
  </conditionalFormatting>
  <conditionalFormatting sqref="I11:I14 I17 I19:I25 I27:I30 I32">
    <cfRule type="dataBar" priority="1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{FA8C6B1B-F046-4106-9BCF-B8B6260CC31E}</x14:id>
        </ext>
      </extLst>
    </cfRule>
  </conditionalFormatting>
  <conditionalFormatting sqref="I11:I17">
    <cfRule type="dataBar" priority="1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{C70CF225-4A74-4470-8BB4-DDB5A4FE98E1}</x14:id>
        </ext>
      </extLst>
    </cfRule>
  </conditionalFormatting>
  <conditionalFormatting sqref="I14">
    <cfRule type="dataBar" priority="8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{11803BCE-C2A2-43B3-B490-D1735BDA2693}</x14:id>
        </ext>
      </extLst>
    </cfRule>
  </conditionalFormatting>
  <conditionalFormatting sqref="I15">
    <cfRule type="dataBar" priority="6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{CB3BD932-893B-4C57-95FB-5A057C93DB5E}</x14:id>
        </ext>
      </extLst>
    </cfRule>
    <cfRule type="dataBar" priority="7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{1AF6D516-169F-4870-90B5-9A2C7F3427BB}</x14:id>
        </ext>
      </extLst>
    </cfRule>
  </conditionalFormatting>
  <conditionalFormatting sqref="I16">
    <cfRule type="dataBar" priority="2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{03B5D1D2-8180-4C30-B678-46E10E9C6428}</x14:id>
        </ext>
      </extLst>
    </cfRule>
    <cfRule type="dataBar" priority="3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{BF2117C7-1274-43A0-AB28-18A80EE0A657}</x14:id>
        </ext>
      </extLst>
    </cfRule>
    <cfRule type="dataBar" priority="4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{8110F38D-6BF0-4811-A7D0-1FFEA1261607}</x14:id>
        </ext>
      </extLst>
    </cfRule>
    <cfRule type="dataBar" priority="5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{C6F6F652-9BF5-4F17-9863-E721432386E2}</x14:id>
        </ext>
      </extLst>
    </cfRule>
  </conditionalFormatting>
  <conditionalFormatting sqref="I18">
    <cfRule type="dataBar" priority="10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{C046C4FB-7593-4751-B45A-D42A1F306ABC}</x14:id>
        </ext>
      </extLst>
    </cfRule>
  </conditionalFormatting>
  <conditionalFormatting sqref="I26">
    <cfRule type="dataBar" priority="9">
      <dataBar>
        <cfvo type="num" val="0"/>
        <cfvo type="num" val="1"/>
        <color rgb="FF5E5E5E"/>
      </dataBar>
      <extLst>
        <ext xmlns:x14="http://schemas.microsoft.com/office/spreadsheetml/2009/9/main" uri="{B025F937-C7B1-47D3-B67F-A62EFF666E3E}">
          <x14:id>{C3B5E622-6FD9-4B09-8FC0-6A06EDB43448}</x14:id>
        </ext>
      </extLst>
    </cfRule>
  </conditionalFormatting>
  <conditionalFormatting sqref="I31">
    <cfRule type="dataBar" priority="1">
      <dataBar>
        <cfvo type="num" val="0"/>
        <cfvo type="num" val="1"/>
        <color rgb="FFDFDFDF"/>
      </dataBar>
      <extLst>
        <ext xmlns:x14="http://schemas.microsoft.com/office/spreadsheetml/2009/9/main" uri="{B025F937-C7B1-47D3-B67F-A62EFF666E3E}">
          <x14:id>{979E80BD-EE02-45DF-9CD4-AE96F2B37DB2}</x14:id>
        </ext>
      </extLst>
    </cfRule>
  </conditionalFormatting>
  <conditionalFormatting sqref="J11:J17 L11:L17 J19:J25 L19:L25 J27:J32 L27:L32">
    <cfRule type="expression" dxfId="10" priority="19">
      <formula>$G11&lt;$J11</formula>
    </cfRule>
  </conditionalFormatting>
  <conditionalFormatting sqref="S7:EH7">
    <cfRule type="expression" dxfId="9" priority="16">
      <formula>YEAR(S7)=YEAR(S9)</formula>
    </cfRule>
  </conditionalFormatting>
  <conditionalFormatting sqref="S8:EH8">
    <cfRule type="expression" dxfId="8" priority="17">
      <formula>S$9=$D$4</formula>
    </cfRule>
  </conditionalFormatting>
  <conditionalFormatting sqref="S8:EH9">
    <cfRule type="expression" dxfId="7" priority="11">
      <formula>WEEKDAY(S$9,2)=6</formula>
    </cfRule>
    <cfRule type="expression" dxfId="6" priority="12">
      <formula>WEEKDAY(S$9,2)=7</formula>
    </cfRule>
  </conditionalFormatting>
  <conditionalFormatting sqref="S10:EH10 S18:EH18 S26:EH26">
    <cfRule type="expression" dxfId="5" priority="21">
      <formula>IF($K10&gt;$H10,AND(S$9&gt;=$F10,S$9&lt;=$J10-$R10),AND(S$9&gt;=$F10,S$9&lt;=$G10-$Q10))</formula>
    </cfRule>
    <cfRule type="expression" dxfId="4" priority="23">
      <formula>AND(S$9&gt;=$F10,S$9&lt;=$G10)</formula>
    </cfRule>
  </conditionalFormatting>
  <conditionalFormatting sqref="S10:EH32">
    <cfRule type="expression" dxfId="3" priority="22">
      <formula>AND(S$9&gt;$G10,S$9&lt;=$J10)</formula>
    </cfRule>
  </conditionalFormatting>
  <conditionalFormatting sqref="S11:EH17 S19:EH25 S27:EH32">
    <cfRule type="expression" dxfId="2" priority="20">
      <formula>IF($K11&gt;$H11,AND(S$9&gt;=$F11,S$9&lt;=$J11-$Q11),AND(S$9&gt;=$F11,S$9&lt;=$G11-$Q11))</formula>
    </cfRule>
    <cfRule type="expression" dxfId="1" priority="24">
      <formula>AND(S$9&gt;=$F11,S$9&lt;=$G11)</formula>
    </cfRule>
  </conditionalFormatting>
  <conditionalFormatting sqref="DZ9:EH9 S9:DY32">
    <cfRule type="expression" dxfId="0" priority="18">
      <formula>S$9=$D$4</formula>
    </cfRule>
  </conditionalFormatting>
  <dataValidations count="1">
    <dataValidation type="list" allowBlank="1" showInputMessage="1" showErrorMessage="1" sqref="D6:E6" xr:uid="{00000000-0002-0000-0500-000000000000}">
      <formula1>"월요일,화요일,수요일,목요일,금요일,토요일,일요일"</formula1>
    </dataValidation>
  </dataValidation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B96DCF-A3FC-4E4C-9832-13E3931D722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I10</xm:sqref>
        </x14:conditionalFormatting>
        <x14:conditionalFormatting xmlns:xm="http://schemas.microsoft.com/office/excel/2006/main">
          <x14:cfRule type="dataBar" id="{FA8C6B1B-F046-4106-9BCF-B8B6260CC3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I11:I14 I17 I19:I25 I27:I30 I32</xm:sqref>
        </x14:conditionalFormatting>
        <x14:conditionalFormatting xmlns:xm="http://schemas.microsoft.com/office/excel/2006/main">
          <x14:cfRule type="dataBar" id="{C70CF225-4A74-4470-8BB4-DDB5A4FE98E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I11:I17</xm:sqref>
        </x14:conditionalFormatting>
        <x14:conditionalFormatting xmlns:xm="http://schemas.microsoft.com/office/excel/2006/main">
          <x14:cfRule type="dataBar" id="{11803BCE-C2A2-43B3-B490-D1735BDA26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I14</xm:sqref>
        </x14:conditionalFormatting>
        <x14:conditionalFormatting xmlns:xm="http://schemas.microsoft.com/office/excel/2006/main">
          <x14:cfRule type="dataBar" id="{CB3BD932-893B-4C57-95FB-5A057C93DB5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1AF6D516-169F-4870-90B5-9A2C7F3427B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I15</xm:sqref>
        </x14:conditionalFormatting>
        <x14:conditionalFormatting xmlns:xm="http://schemas.microsoft.com/office/excel/2006/main">
          <x14:cfRule type="dataBar" id="{03B5D1D2-8180-4C30-B678-46E10E9C642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BF2117C7-1274-43A0-AB28-18A80EE0A65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8110F38D-6BF0-4811-A7D0-1FFEA126160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6F6F652-9BF5-4F17-9863-E721432386E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I16</xm:sqref>
        </x14:conditionalFormatting>
        <x14:conditionalFormatting xmlns:xm="http://schemas.microsoft.com/office/excel/2006/main">
          <x14:cfRule type="dataBar" id="{C046C4FB-7593-4751-B45A-D42A1F306AB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I18</xm:sqref>
        </x14:conditionalFormatting>
        <x14:conditionalFormatting xmlns:xm="http://schemas.microsoft.com/office/excel/2006/main">
          <x14:cfRule type="dataBar" id="{C3B5E622-6FD9-4B09-8FC0-6A06EDB4344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I26</xm:sqref>
        </x14:conditionalFormatting>
        <x14:conditionalFormatting xmlns:xm="http://schemas.microsoft.com/office/excel/2006/main">
          <x14:cfRule type="dataBar" id="{979E80BD-EE02-45DF-9CD4-AE96F2B37DB2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5193-C3DF-438F-97A4-952B32CF691D}">
  <dimension ref="A1:G8"/>
  <sheetViews>
    <sheetView topLeftCell="A4" zoomScale="145" zoomScaleNormal="145" workbookViewId="0">
      <selection activeCell="E12" sqref="E12"/>
    </sheetView>
  </sheetViews>
  <sheetFormatPr defaultRowHeight="16.5"/>
  <cols>
    <col min="1" max="1" width="5.875" bestFit="1" customWidth="1"/>
    <col min="2" max="2" width="8.5" style="120" customWidth="1"/>
    <col min="3" max="3" width="10.25" bestFit="1" customWidth="1"/>
    <col min="4" max="4" width="13.75" style="167" bestFit="1" customWidth="1"/>
    <col min="5" max="5" width="49.375" customWidth="1"/>
    <col min="6" max="6" width="12.125" style="120" customWidth="1"/>
    <col min="7" max="7" width="27.5" customWidth="1"/>
  </cols>
  <sheetData>
    <row r="1" spans="1:7" ht="18.75" customHeight="1">
      <c r="E1" s="117" t="s">
        <v>117</v>
      </c>
      <c r="F1" s="117" t="s">
        <v>118</v>
      </c>
    </row>
    <row r="2" spans="1:7" ht="123" customHeight="1">
      <c r="A2" s="112"/>
      <c r="B2" s="112" t="s">
        <v>119</v>
      </c>
      <c r="C2" s="112" t="s">
        <v>120</v>
      </c>
      <c r="D2" s="112" t="s">
        <v>121</v>
      </c>
      <c r="E2" s="164" t="s">
        <v>122</v>
      </c>
      <c r="F2" s="112" t="s">
        <v>123</v>
      </c>
    </row>
    <row r="3" spans="1:7" ht="115.5">
      <c r="B3" s="112" t="s">
        <v>124</v>
      </c>
      <c r="C3" s="112" t="s">
        <v>120</v>
      </c>
      <c r="D3" s="112" t="s">
        <v>125</v>
      </c>
      <c r="E3" s="164" t="s">
        <v>126</v>
      </c>
    </row>
    <row r="4" spans="1:7" ht="115.5">
      <c r="B4" s="112" t="s">
        <v>124</v>
      </c>
      <c r="C4" s="112" t="s">
        <v>120</v>
      </c>
      <c r="D4" s="112" t="s">
        <v>125</v>
      </c>
      <c r="E4" s="164" t="s">
        <v>127</v>
      </c>
    </row>
    <row r="5" spans="1:7" ht="115.5">
      <c r="B5" s="112" t="s">
        <v>128</v>
      </c>
      <c r="C5" s="112" t="s">
        <v>120</v>
      </c>
      <c r="D5" s="112" t="s">
        <v>125</v>
      </c>
      <c r="E5" s="164" t="s">
        <v>127</v>
      </c>
    </row>
    <row r="6" spans="1:7" ht="75" customHeight="1">
      <c r="B6" s="112" t="s">
        <v>129</v>
      </c>
      <c r="C6" s="112" t="s">
        <v>120</v>
      </c>
      <c r="D6" s="165" t="s">
        <v>130</v>
      </c>
      <c r="E6" s="166" t="s">
        <v>131</v>
      </c>
      <c r="G6" s="112" t="s">
        <v>132</v>
      </c>
    </row>
    <row r="7" spans="1:7" ht="82.5">
      <c r="B7" s="112" t="s">
        <v>129</v>
      </c>
      <c r="C7" s="112" t="s">
        <v>120</v>
      </c>
      <c r="D7" s="112" t="s">
        <v>133</v>
      </c>
      <c r="E7" s="164" t="s">
        <v>134</v>
      </c>
    </row>
    <row r="8" spans="1:7" ht="33">
      <c r="B8" s="112" t="s">
        <v>129</v>
      </c>
      <c r="C8" s="112" t="s">
        <v>135</v>
      </c>
      <c r="E8" s="164" t="s">
        <v>136</v>
      </c>
    </row>
  </sheetData>
  <phoneticPr fontId="3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 filterMode="1"/>
  <dimension ref="B1:V43"/>
  <sheetViews>
    <sheetView tabSelected="1" zoomScale="80" zoomScaleNormal="75" zoomScaleSheetLayoutView="80" workbookViewId="0">
      <selection activeCell="L34" sqref="L34"/>
    </sheetView>
  </sheetViews>
  <sheetFormatPr defaultColWidth="8.875" defaultRowHeight="16.5"/>
  <cols>
    <col min="1" max="1" width="5.625" customWidth="1"/>
    <col min="2" max="5" width="5.75" style="120" customWidth="1"/>
    <col min="6" max="6" width="22.5" customWidth="1"/>
    <col min="7" max="7" width="9.75" style="120" customWidth="1"/>
    <col min="8" max="9" width="9.375" style="120" bestFit="1" customWidth="1"/>
    <col min="10" max="10" width="9.375" bestFit="1" customWidth="1"/>
    <col min="11" max="11" width="13.375" style="120" bestFit="1" customWidth="1"/>
    <col min="12" max="12" width="91.375" bestFit="1" customWidth="1"/>
    <col min="13" max="13" width="12" style="120" bestFit="1" customWidth="1"/>
    <col min="14" max="14" width="10.625" bestFit="1" customWidth="1"/>
    <col min="16" max="17" width="10" bestFit="1" customWidth="1"/>
    <col min="18" max="18" width="7.5" style="120" bestFit="1" customWidth="1"/>
    <col min="19" max="19" width="53.125" customWidth="1"/>
    <col min="20" max="20" width="60.375" customWidth="1"/>
    <col min="21" max="21" width="46.5" customWidth="1"/>
    <col min="22" max="22" width="31.125" customWidth="1"/>
  </cols>
  <sheetData>
    <row r="1" spans="2:22" ht="17.25" thickBot="1"/>
    <row r="2" spans="2:22" ht="31.5" customHeight="1" thickBot="1">
      <c r="B2" s="200" t="s">
        <v>137</v>
      </c>
      <c r="C2" s="201"/>
      <c r="D2" s="201"/>
      <c r="E2" s="202"/>
      <c r="F2" s="94" t="s">
        <v>1</v>
      </c>
      <c r="G2" s="124" t="s">
        <v>138</v>
      </c>
      <c r="H2" s="124" t="s">
        <v>139</v>
      </c>
      <c r="I2" s="124" t="s">
        <v>140</v>
      </c>
      <c r="J2" s="95" t="s">
        <v>141</v>
      </c>
      <c r="K2" s="95" t="s">
        <v>142</v>
      </c>
      <c r="L2" s="96" t="s">
        <v>143</v>
      </c>
      <c r="M2" s="96" t="s">
        <v>144</v>
      </c>
      <c r="N2" s="96" t="s">
        <v>145</v>
      </c>
      <c r="O2" s="96" t="s">
        <v>146</v>
      </c>
      <c r="P2" s="96" t="s">
        <v>147</v>
      </c>
      <c r="Q2" s="96" t="s">
        <v>148</v>
      </c>
      <c r="R2" s="96" t="s">
        <v>29</v>
      </c>
      <c r="S2" s="96" t="s">
        <v>149</v>
      </c>
      <c r="T2" s="96" t="s">
        <v>150</v>
      </c>
      <c r="U2" s="206" t="s">
        <v>151</v>
      </c>
      <c r="V2" s="207"/>
    </row>
    <row r="3" spans="2:22" s="93" customFormat="1" ht="76.5" hidden="1" customHeight="1" thickTop="1">
      <c r="B3" s="97">
        <v>2</v>
      </c>
      <c r="C3" s="98">
        <v>2</v>
      </c>
      <c r="D3" s="98">
        <v>1</v>
      </c>
      <c r="E3" s="98">
        <v>4</v>
      </c>
      <c r="F3" s="119" t="s">
        <v>152</v>
      </c>
      <c r="G3" s="127" t="s">
        <v>153</v>
      </c>
      <c r="H3" s="127" t="s">
        <v>154</v>
      </c>
      <c r="I3" s="127" t="s">
        <v>155</v>
      </c>
      <c r="J3" s="99"/>
      <c r="K3" s="98" t="s">
        <v>156</v>
      </c>
      <c r="L3" s="119" t="s">
        <v>157</v>
      </c>
      <c r="M3" s="121">
        <v>46037</v>
      </c>
      <c r="N3" s="99"/>
      <c r="O3" s="98" t="s">
        <v>158</v>
      </c>
      <c r="P3" s="98"/>
      <c r="Q3" s="126" t="s">
        <v>159</v>
      </c>
      <c r="R3" s="98" t="s">
        <v>56</v>
      </c>
      <c r="S3" s="102"/>
      <c r="T3" s="119" t="s">
        <v>160</v>
      </c>
      <c r="U3" s="203" t="s">
        <v>161</v>
      </c>
      <c r="V3" s="204"/>
    </row>
    <row r="4" spans="2:22" s="93" customFormat="1" ht="66.75" hidden="1" thickTop="1">
      <c r="B4" s="97">
        <v>2</v>
      </c>
      <c r="C4" s="98">
        <v>2</v>
      </c>
      <c r="D4" s="98">
        <v>1</v>
      </c>
      <c r="E4" s="98">
        <v>4</v>
      </c>
      <c r="F4" s="119" t="s">
        <v>152</v>
      </c>
      <c r="G4" s="127" t="s">
        <v>153</v>
      </c>
      <c r="H4" s="127" t="s">
        <v>154</v>
      </c>
      <c r="I4" s="127" t="s">
        <v>155</v>
      </c>
      <c r="J4" s="99"/>
      <c r="K4" s="98" t="s">
        <v>156</v>
      </c>
      <c r="L4" s="119" t="s">
        <v>162</v>
      </c>
      <c r="M4" s="121">
        <v>46037</v>
      </c>
      <c r="N4" s="99"/>
      <c r="P4" s="98"/>
      <c r="Q4" s="126" t="s">
        <v>159</v>
      </c>
      <c r="R4" s="98" t="s">
        <v>56</v>
      </c>
      <c r="S4" s="102"/>
      <c r="T4" s="119" t="s">
        <v>163</v>
      </c>
      <c r="U4" s="196"/>
      <c r="V4" s="197"/>
    </row>
    <row r="5" spans="2:22" s="93" customFormat="1" ht="33.75" thickTop="1">
      <c r="B5" s="97">
        <v>1</v>
      </c>
      <c r="C5" s="98">
        <v>2</v>
      </c>
      <c r="D5" s="98">
        <v>1</v>
      </c>
      <c r="E5" s="98">
        <v>1</v>
      </c>
      <c r="F5" s="103" t="s">
        <v>164</v>
      </c>
      <c r="G5" s="98"/>
      <c r="H5" s="98"/>
      <c r="I5" s="98"/>
      <c r="J5" s="99"/>
      <c r="K5" s="98" t="s">
        <v>165</v>
      </c>
      <c r="L5" s="119" t="s">
        <v>166</v>
      </c>
      <c r="M5" s="121">
        <v>46037</v>
      </c>
      <c r="N5" s="101">
        <v>46042</v>
      </c>
      <c r="O5" s="98" t="s">
        <v>158</v>
      </c>
      <c r="P5" s="99"/>
      <c r="Q5" s="126" t="s">
        <v>167</v>
      </c>
      <c r="R5" s="98" t="s">
        <v>56</v>
      </c>
      <c r="S5" s="119" t="s">
        <v>168</v>
      </c>
      <c r="T5" s="119" t="s">
        <v>169</v>
      </c>
      <c r="U5" s="196"/>
      <c r="V5" s="197"/>
    </row>
    <row r="6" spans="2:22" s="93" customFormat="1" ht="45" hidden="1" customHeight="1">
      <c r="B6" s="97">
        <v>0</v>
      </c>
      <c r="C6" s="98">
        <v>5</v>
      </c>
      <c r="D6" s="98">
        <v>2</v>
      </c>
      <c r="E6" s="98">
        <v>4</v>
      </c>
      <c r="F6" s="125" t="s">
        <v>170</v>
      </c>
      <c r="G6" s="98"/>
      <c r="H6" s="98"/>
      <c r="I6" s="98"/>
      <c r="J6" s="99"/>
      <c r="K6" s="126" t="s">
        <v>171</v>
      </c>
      <c r="L6" s="130" t="s">
        <v>172</v>
      </c>
      <c r="M6" s="121">
        <v>46041</v>
      </c>
      <c r="N6" s="99"/>
      <c r="O6" s="99"/>
      <c r="P6" s="99"/>
      <c r="Q6" s="99"/>
      <c r="R6" s="98" t="s">
        <v>173</v>
      </c>
      <c r="S6" s="119" t="s">
        <v>174</v>
      </c>
      <c r="T6" s="102" t="s">
        <v>175</v>
      </c>
      <c r="U6" s="196"/>
      <c r="V6" s="197"/>
    </row>
    <row r="7" spans="2:22" s="93" customFormat="1" ht="99" hidden="1">
      <c r="B7" s="97">
        <v>5</v>
      </c>
      <c r="C7" s="98">
        <v>2</v>
      </c>
      <c r="D7" s="98"/>
      <c r="E7" s="98"/>
      <c r="F7" s="99" t="s">
        <v>15</v>
      </c>
      <c r="G7" s="98"/>
      <c r="H7" s="98"/>
      <c r="I7" s="98"/>
      <c r="J7" s="99"/>
      <c r="K7" s="98" t="s">
        <v>176</v>
      </c>
      <c r="L7" s="100" t="s">
        <v>177</v>
      </c>
      <c r="M7" s="121">
        <v>46044</v>
      </c>
      <c r="N7" s="99"/>
      <c r="O7" s="99"/>
      <c r="P7" s="99"/>
      <c r="Q7" s="99"/>
      <c r="R7" s="98" t="s">
        <v>56</v>
      </c>
      <c r="S7" s="100"/>
      <c r="T7" s="119" t="s">
        <v>178</v>
      </c>
      <c r="U7" s="203"/>
      <c r="V7" s="205"/>
    </row>
    <row r="8" spans="2:22" s="93" customFormat="1" ht="55.5" customHeight="1">
      <c r="B8" s="97">
        <v>1</v>
      </c>
      <c r="C8" s="98">
        <v>5</v>
      </c>
      <c r="D8" s="98">
        <v>3</v>
      </c>
      <c r="E8" s="98">
        <v>6</v>
      </c>
      <c r="F8" s="103" t="s">
        <v>164</v>
      </c>
      <c r="G8" s="126" t="s">
        <v>179</v>
      </c>
      <c r="H8" s="126" t="s">
        <v>154</v>
      </c>
      <c r="I8" s="126" t="s">
        <v>180</v>
      </c>
      <c r="J8" s="98">
        <v>1</v>
      </c>
      <c r="K8" s="98" t="s">
        <v>165</v>
      </c>
      <c r="L8" s="119" t="s">
        <v>181</v>
      </c>
      <c r="M8" s="121">
        <v>46045</v>
      </c>
      <c r="N8" s="126" t="s">
        <v>182</v>
      </c>
      <c r="O8" s="126" t="s">
        <v>183</v>
      </c>
      <c r="P8" s="99"/>
      <c r="Q8" s="126" t="s">
        <v>184</v>
      </c>
      <c r="R8" s="126" t="s">
        <v>60</v>
      </c>
      <c r="S8" s="99"/>
      <c r="T8" s="119" t="s">
        <v>185</v>
      </c>
      <c r="U8" s="196"/>
      <c r="V8" s="197"/>
    </row>
    <row r="9" spans="2:22" s="93" customFormat="1" ht="73.5" hidden="1" customHeight="1">
      <c r="B9" s="97">
        <v>3</v>
      </c>
      <c r="C9" s="98"/>
      <c r="D9" s="98"/>
      <c r="E9" s="98"/>
      <c r="F9" s="99"/>
      <c r="G9" s="126" t="s">
        <v>179</v>
      </c>
      <c r="H9" s="98"/>
      <c r="I9" s="98"/>
      <c r="J9" s="99"/>
      <c r="K9" s="98"/>
      <c r="L9" s="156" t="s">
        <v>186</v>
      </c>
      <c r="M9" s="98"/>
      <c r="N9" s="99"/>
      <c r="O9" s="99"/>
      <c r="P9" s="99"/>
      <c r="Q9" s="99"/>
      <c r="R9" s="98"/>
      <c r="S9" s="99"/>
      <c r="T9" s="99"/>
      <c r="U9" s="196"/>
      <c r="V9" s="197"/>
    </row>
    <row r="10" spans="2:22" s="93" customFormat="1" ht="33">
      <c r="B10" s="97">
        <v>1</v>
      </c>
      <c r="C10" s="98">
        <v>5</v>
      </c>
      <c r="D10" s="98">
        <v>4</v>
      </c>
      <c r="E10" s="98"/>
      <c r="F10" s="99" t="s">
        <v>164</v>
      </c>
      <c r="G10" s="98" t="s">
        <v>187</v>
      </c>
      <c r="H10" s="98" t="s">
        <v>188</v>
      </c>
      <c r="I10" s="98"/>
      <c r="J10" s="99"/>
      <c r="K10" s="98" t="s">
        <v>165</v>
      </c>
      <c r="L10" s="100" t="s">
        <v>189</v>
      </c>
      <c r="M10" s="98"/>
      <c r="N10" s="98" t="s">
        <v>190</v>
      </c>
      <c r="O10" s="98" t="s">
        <v>158</v>
      </c>
      <c r="P10" s="98"/>
      <c r="Q10" s="98" t="s">
        <v>184</v>
      </c>
      <c r="R10" s="98" t="s">
        <v>42</v>
      </c>
      <c r="S10" s="99"/>
      <c r="T10" s="99"/>
      <c r="U10" s="198" t="s">
        <v>191</v>
      </c>
      <c r="V10" s="199"/>
    </row>
    <row r="11" spans="2:22" ht="66">
      <c r="B11" s="97">
        <v>2</v>
      </c>
      <c r="C11" s="98">
        <v>5</v>
      </c>
      <c r="D11" s="98">
        <v>4</v>
      </c>
      <c r="E11" s="98"/>
      <c r="F11" s="99" t="s">
        <v>164</v>
      </c>
      <c r="G11" s="98" t="s">
        <v>187</v>
      </c>
      <c r="H11" s="98" t="s">
        <v>188</v>
      </c>
      <c r="I11" s="98"/>
      <c r="J11" s="99"/>
      <c r="K11" s="98" t="s">
        <v>165</v>
      </c>
      <c r="L11" s="100" t="s">
        <v>192</v>
      </c>
      <c r="M11" s="98"/>
      <c r="N11" s="98" t="s">
        <v>190</v>
      </c>
      <c r="O11" s="98" t="s">
        <v>158</v>
      </c>
      <c r="P11" s="98"/>
      <c r="Q11" s="98" t="s">
        <v>184</v>
      </c>
      <c r="R11" s="98" t="s">
        <v>42</v>
      </c>
      <c r="S11" s="104"/>
      <c r="T11" s="104"/>
      <c r="U11" s="198" t="s">
        <v>193</v>
      </c>
      <c r="V11" s="199"/>
    </row>
    <row r="12" spans="2:22" ht="49.5" hidden="1">
      <c r="B12" s="97">
        <v>2</v>
      </c>
      <c r="C12" s="182">
        <v>2</v>
      </c>
      <c r="D12" s="182">
        <v>3</v>
      </c>
      <c r="E12" s="182">
        <v>6</v>
      </c>
      <c r="F12" s="183" t="s">
        <v>194</v>
      </c>
      <c r="G12" s="182" t="s">
        <v>153</v>
      </c>
      <c r="H12" s="182" t="s">
        <v>154</v>
      </c>
      <c r="I12" s="182" t="s">
        <v>180</v>
      </c>
      <c r="J12" s="182">
        <v>3</v>
      </c>
      <c r="K12" s="182" t="s">
        <v>156</v>
      </c>
      <c r="L12" s="184" t="s">
        <v>195</v>
      </c>
      <c r="M12" s="185">
        <v>46032</v>
      </c>
      <c r="N12" s="182"/>
      <c r="O12" s="182"/>
      <c r="P12" s="186"/>
      <c r="Q12" s="182" t="s">
        <v>159</v>
      </c>
      <c r="R12" s="182" t="s">
        <v>196</v>
      </c>
      <c r="S12" s="183"/>
      <c r="T12" s="104"/>
      <c r="U12" s="196"/>
      <c r="V12" s="197"/>
    </row>
    <row r="13" spans="2:22" ht="66" hidden="1">
      <c r="B13" s="97">
        <v>2</v>
      </c>
      <c r="C13" s="182">
        <v>2</v>
      </c>
      <c r="D13" s="182">
        <v>2</v>
      </c>
      <c r="E13" s="182">
        <v>3</v>
      </c>
      <c r="F13" s="183" t="s">
        <v>194</v>
      </c>
      <c r="G13" s="182" t="s">
        <v>197</v>
      </c>
      <c r="H13" s="182" t="s">
        <v>198</v>
      </c>
      <c r="I13" s="182" t="s">
        <v>199</v>
      </c>
      <c r="J13" s="182">
        <v>4</v>
      </c>
      <c r="K13" s="182" t="s">
        <v>156</v>
      </c>
      <c r="L13" s="184" t="s">
        <v>200</v>
      </c>
      <c r="M13" s="185">
        <v>46057</v>
      </c>
      <c r="N13" s="182"/>
      <c r="O13" s="182"/>
      <c r="P13" s="186"/>
      <c r="Q13" s="182" t="s">
        <v>159</v>
      </c>
      <c r="R13" s="182" t="s">
        <v>201</v>
      </c>
      <c r="S13" s="183" t="s">
        <v>202</v>
      </c>
      <c r="T13" s="104"/>
      <c r="U13" s="196"/>
      <c r="V13" s="197"/>
    </row>
    <row r="14" spans="2:22" ht="49.5" hidden="1">
      <c r="B14" s="97">
        <v>2</v>
      </c>
      <c r="C14" s="182">
        <v>2</v>
      </c>
      <c r="D14" s="182">
        <v>3</v>
      </c>
      <c r="E14" s="182">
        <v>6</v>
      </c>
      <c r="F14" s="183" t="s">
        <v>152</v>
      </c>
      <c r="G14" s="182" t="s">
        <v>153</v>
      </c>
      <c r="H14" s="182" t="s">
        <v>154</v>
      </c>
      <c r="I14" s="182" t="s">
        <v>180</v>
      </c>
      <c r="J14" s="182">
        <v>3</v>
      </c>
      <c r="K14" s="182" t="s">
        <v>156</v>
      </c>
      <c r="L14" s="184" t="s">
        <v>195</v>
      </c>
      <c r="M14" s="185">
        <v>46057</v>
      </c>
      <c r="N14" s="182"/>
      <c r="O14" s="182"/>
      <c r="P14" s="182">
        <v>4</v>
      </c>
      <c r="Q14" s="182" t="s">
        <v>159</v>
      </c>
      <c r="R14" s="182" t="s">
        <v>196</v>
      </c>
      <c r="S14" s="183"/>
      <c r="T14" s="104"/>
      <c r="U14" s="196"/>
      <c r="V14" s="197"/>
    </row>
    <row r="15" spans="2:22" ht="49.5" hidden="1">
      <c r="B15" s="97">
        <v>2</v>
      </c>
      <c r="C15" s="182">
        <v>2</v>
      </c>
      <c r="D15" s="182">
        <v>3</v>
      </c>
      <c r="E15" s="182">
        <v>6</v>
      </c>
      <c r="F15" s="183" t="s">
        <v>152</v>
      </c>
      <c r="G15" s="182" t="s">
        <v>153</v>
      </c>
      <c r="H15" s="182" t="s">
        <v>154</v>
      </c>
      <c r="I15" s="182" t="s">
        <v>180</v>
      </c>
      <c r="J15" s="182">
        <v>2</v>
      </c>
      <c r="K15" s="182" t="s">
        <v>156</v>
      </c>
      <c r="L15" s="184" t="s">
        <v>203</v>
      </c>
      <c r="M15" s="185">
        <v>46057</v>
      </c>
      <c r="N15" s="182"/>
      <c r="O15" s="182"/>
      <c r="P15" s="186"/>
      <c r="Q15" s="182" t="s">
        <v>159</v>
      </c>
      <c r="R15" s="182" t="s">
        <v>196</v>
      </c>
      <c r="S15" s="183"/>
      <c r="T15" s="104"/>
      <c r="U15" s="196"/>
      <c r="V15" s="197"/>
    </row>
    <row r="16" spans="2:22" ht="49.5" hidden="1">
      <c r="B16" s="97">
        <v>2</v>
      </c>
      <c r="C16" s="182">
        <v>2</v>
      </c>
      <c r="D16" s="182">
        <v>2</v>
      </c>
      <c r="E16" s="182">
        <v>3</v>
      </c>
      <c r="F16" s="183" t="s">
        <v>152</v>
      </c>
      <c r="G16" s="182" t="s">
        <v>197</v>
      </c>
      <c r="H16" s="182" t="s">
        <v>204</v>
      </c>
      <c r="I16" s="182" t="s">
        <v>205</v>
      </c>
      <c r="J16" s="182"/>
      <c r="K16" s="182" t="s">
        <v>206</v>
      </c>
      <c r="L16" s="184" t="s">
        <v>207</v>
      </c>
      <c r="M16" s="185">
        <v>46057</v>
      </c>
      <c r="N16" s="182"/>
      <c r="O16" s="182" t="s">
        <v>208</v>
      </c>
      <c r="P16" s="186"/>
      <c r="Q16" s="182" t="s">
        <v>159</v>
      </c>
      <c r="R16" s="187" t="s">
        <v>209</v>
      </c>
      <c r="S16" s="183" t="s">
        <v>210</v>
      </c>
      <c r="T16" s="104"/>
      <c r="U16" s="196"/>
      <c r="V16" s="197"/>
    </row>
    <row r="17" spans="2:22" ht="49.5" hidden="1">
      <c r="B17" s="97">
        <v>2</v>
      </c>
      <c r="C17" s="182">
        <v>2</v>
      </c>
      <c r="D17" s="182">
        <v>3</v>
      </c>
      <c r="E17" s="182">
        <v>6</v>
      </c>
      <c r="F17" s="183" t="s">
        <v>152</v>
      </c>
      <c r="G17" s="182" t="s">
        <v>153</v>
      </c>
      <c r="H17" s="182" t="s">
        <v>154</v>
      </c>
      <c r="I17" s="182" t="s">
        <v>180</v>
      </c>
      <c r="J17" s="182"/>
      <c r="K17" s="182" t="s">
        <v>206</v>
      </c>
      <c r="L17" s="184" t="s">
        <v>211</v>
      </c>
      <c r="M17" s="185">
        <v>46056</v>
      </c>
      <c r="N17" s="182"/>
      <c r="O17" s="182" t="s">
        <v>208</v>
      </c>
      <c r="P17" s="186"/>
      <c r="Q17" s="182" t="s">
        <v>159</v>
      </c>
      <c r="R17" s="187" t="s">
        <v>201</v>
      </c>
      <c r="S17" s="183" t="s">
        <v>212</v>
      </c>
      <c r="T17" s="104"/>
      <c r="U17" s="196"/>
      <c r="V17" s="197"/>
    </row>
    <row r="18" spans="2:22" ht="49.5" hidden="1">
      <c r="B18" s="97">
        <v>2</v>
      </c>
      <c r="C18" s="182">
        <v>2</v>
      </c>
      <c r="D18" s="182">
        <v>5</v>
      </c>
      <c r="E18" s="182">
        <v>5</v>
      </c>
      <c r="F18" s="183" t="s">
        <v>194</v>
      </c>
      <c r="G18" s="182" t="s">
        <v>213</v>
      </c>
      <c r="H18" s="182" t="s">
        <v>214</v>
      </c>
      <c r="I18" s="182" t="s">
        <v>215</v>
      </c>
      <c r="J18" s="182"/>
      <c r="K18" s="182" t="s">
        <v>206</v>
      </c>
      <c r="L18" s="184" t="s">
        <v>216</v>
      </c>
      <c r="M18" s="185">
        <v>46057</v>
      </c>
      <c r="N18" s="182"/>
      <c r="O18" s="182"/>
      <c r="P18" s="186"/>
      <c r="Q18" s="182" t="s">
        <v>159</v>
      </c>
      <c r="R18" s="187" t="s">
        <v>196</v>
      </c>
      <c r="S18" s="183"/>
      <c r="T18" s="104"/>
      <c r="U18" s="196"/>
      <c r="V18" s="197"/>
    </row>
    <row r="19" spans="2:22" ht="49.5" hidden="1">
      <c r="B19" s="97">
        <v>2</v>
      </c>
      <c r="C19" s="182">
        <v>2</v>
      </c>
      <c r="D19" s="182">
        <v>5</v>
      </c>
      <c r="E19" s="182">
        <v>5</v>
      </c>
      <c r="F19" s="183" t="s">
        <v>194</v>
      </c>
      <c r="G19" s="182" t="s">
        <v>213</v>
      </c>
      <c r="H19" s="182" t="s">
        <v>214</v>
      </c>
      <c r="I19" s="182" t="s">
        <v>215</v>
      </c>
      <c r="J19" s="182">
        <v>1</v>
      </c>
      <c r="K19" s="182" t="s">
        <v>206</v>
      </c>
      <c r="L19" s="183" t="s">
        <v>217</v>
      </c>
      <c r="M19" s="185">
        <v>46059</v>
      </c>
      <c r="N19" s="186"/>
      <c r="O19" s="186"/>
      <c r="P19" s="186"/>
      <c r="Q19" s="182" t="s">
        <v>159</v>
      </c>
      <c r="R19" s="187" t="s">
        <v>196</v>
      </c>
      <c r="S19" s="183"/>
      <c r="T19" s="104"/>
      <c r="U19" s="196"/>
      <c r="V19" s="197"/>
    </row>
    <row r="20" spans="2:22" ht="49.5" hidden="1">
      <c r="B20" s="97">
        <v>2</v>
      </c>
      <c r="C20" s="182">
        <v>2</v>
      </c>
      <c r="D20" s="182">
        <v>5</v>
      </c>
      <c r="E20" s="182">
        <v>5</v>
      </c>
      <c r="F20" s="183" t="s">
        <v>152</v>
      </c>
      <c r="G20" s="182" t="s">
        <v>213</v>
      </c>
      <c r="H20" s="182" t="s">
        <v>214</v>
      </c>
      <c r="I20" s="182" t="s">
        <v>215</v>
      </c>
      <c r="J20" s="182">
        <v>3</v>
      </c>
      <c r="K20" s="182" t="s">
        <v>206</v>
      </c>
      <c r="L20" s="183" t="s">
        <v>218</v>
      </c>
      <c r="M20" s="185">
        <v>46058</v>
      </c>
      <c r="N20" s="182"/>
      <c r="O20" s="182"/>
      <c r="P20" s="186"/>
      <c r="Q20" s="182" t="s">
        <v>159</v>
      </c>
      <c r="R20" s="182" t="s">
        <v>196</v>
      </c>
      <c r="S20" s="186"/>
      <c r="T20" s="104"/>
      <c r="U20" s="196"/>
      <c r="V20" s="197"/>
    </row>
    <row r="21" spans="2:22" ht="49.5" hidden="1">
      <c r="B21" s="97">
        <v>2</v>
      </c>
      <c r="C21" s="182">
        <v>2</v>
      </c>
      <c r="D21" s="182">
        <v>5</v>
      </c>
      <c r="E21" s="182">
        <v>5</v>
      </c>
      <c r="F21" s="183" t="s">
        <v>152</v>
      </c>
      <c r="G21" s="182" t="s">
        <v>213</v>
      </c>
      <c r="H21" s="182" t="s">
        <v>214</v>
      </c>
      <c r="I21" s="182" t="s">
        <v>215</v>
      </c>
      <c r="J21" s="182">
        <v>3</v>
      </c>
      <c r="K21" s="182" t="s">
        <v>206</v>
      </c>
      <c r="L21" s="183" t="s">
        <v>219</v>
      </c>
      <c r="M21" s="185">
        <v>46058</v>
      </c>
      <c r="N21" s="182"/>
      <c r="O21" s="182"/>
      <c r="P21" s="186"/>
      <c r="Q21" s="182" t="s">
        <v>159</v>
      </c>
      <c r="R21" s="182" t="s">
        <v>196</v>
      </c>
      <c r="S21" s="186"/>
      <c r="T21" s="104"/>
      <c r="U21" s="196"/>
      <c r="V21" s="197"/>
    </row>
    <row r="22" spans="2:22" ht="49.5" hidden="1">
      <c r="B22" s="97">
        <v>2</v>
      </c>
      <c r="C22" s="182">
        <v>2</v>
      </c>
      <c r="D22" s="182">
        <v>5</v>
      </c>
      <c r="E22" s="182">
        <v>5</v>
      </c>
      <c r="F22" s="183" t="s">
        <v>152</v>
      </c>
      <c r="G22" s="182" t="s">
        <v>213</v>
      </c>
      <c r="H22" s="182" t="s">
        <v>214</v>
      </c>
      <c r="I22" s="182" t="s">
        <v>215</v>
      </c>
      <c r="J22" s="182">
        <v>3</v>
      </c>
      <c r="K22" s="182" t="s">
        <v>206</v>
      </c>
      <c r="L22" s="183" t="s">
        <v>220</v>
      </c>
      <c r="M22" s="185">
        <v>46058</v>
      </c>
      <c r="N22" s="186"/>
      <c r="O22" s="186"/>
      <c r="P22" s="186"/>
      <c r="Q22" s="182" t="s">
        <v>159</v>
      </c>
      <c r="R22" s="182" t="s">
        <v>196</v>
      </c>
      <c r="S22" s="186"/>
      <c r="T22" s="104"/>
      <c r="U22" s="196"/>
      <c r="V22" s="197"/>
    </row>
    <row r="23" spans="2:22">
      <c r="B23" s="128"/>
      <c r="C23" s="122"/>
      <c r="D23" s="122"/>
      <c r="E23" s="122"/>
      <c r="F23" s="104"/>
      <c r="G23" s="122"/>
      <c r="H23" s="122"/>
      <c r="I23" s="122"/>
      <c r="J23" s="104"/>
      <c r="K23" s="122"/>
      <c r="L23" s="104"/>
      <c r="M23" s="122"/>
      <c r="N23" s="104"/>
      <c r="O23" s="104"/>
      <c r="P23" s="188" t="s">
        <v>221</v>
      </c>
      <c r="Q23" s="104"/>
      <c r="R23" s="122"/>
      <c r="S23" s="104"/>
      <c r="T23" s="104"/>
      <c r="U23" s="196"/>
      <c r="V23" s="197"/>
    </row>
    <row r="24" spans="2:22">
      <c r="B24" s="128"/>
      <c r="C24" s="122"/>
      <c r="D24" s="122"/>
      <c r="E24" s="122"/>
      <c r="F24" s="104"/>
      <c r="G24" s="122"/>
      <c r="H24" s="122"/>
      <c r="I24" s="122"/>
      <c r="J24" s="104"/>
      <c r="K24" s="122"/>
      <c r="L24" s="104"/>
      <c r="M24" s="122"/>
      <c r="N24" s="104"/>
      <c r="O24" s="104"/>
      <c r="P24" s="104"/>
      <c r="Q24" s="104"/>
      <c r="R24" s="122"/>
      <c r="S24" s="104"/>
      <c r="T24" s="104"/>
      <c r="U24" s="196"/>
      <c r="V24" s="197"/>
    </row>
    <row r="25" spans="2:22">
      <c r="B25" s="128"/>
      <c r="C25" s="122"/>
      <c r="D25" s="122"/>
      <c r="E25" s="122"/>
      <c r="F25" s="104"/>
      <c r="G25" s="122"/>
      <c r="H25" s="122"/>
      <c r="I25" s="122"/>
      <c r="J25" s="104"/>
      <c r="K25" s="122"/>
      <c r="L25" s="104"/>
      <c r="M25" s="122"/>
      <c r="N25" s="104"/>
      <c r="O25" s="104"/>
      <c r="P25" s="104"/>
      <c r="Q25" s="104"/>
      <c r="R25" s="122"/>
      <c r="S25" s="104"/>
      <c r="T25" s="104"/>
      <c r="U25" s="196"/>
      <c r="V25" s="197"/>
    </row>
    <row r="26" spans="2:22">
      <c r="B26" s="128"/>
      <c r="C26" s="122"/>
      <c r="D26" s="122"/>
      <c r="E26" s="122"/>
      <c r="F26" s="104"/>
      <c r="G26" s="122"/>
      <c r="H26" s="122"/>
      <c r="I26" s="122"/>
      <c r="J26" s="104"/>
      <c r="K26" s="122"/>
      <c r="L26" s="104"/>
      <c r="M26" s="122"/>
      <c r="N26" s="104"/>
      <c r="O26" s="104"/>
      <c r="P26" s="104"/>
      <c r="Q26" s="104"/>
      <c r="R26" s="122"/>
      <c r="S26" s="104"/>
      <c r="T26" s="104"/>
      <c r="U26" s="196"/>
      <c r="V26" s="197"/>
    </row>
    <row r="27" spans="2:22">
      <c r="B27" s="128"/>
      <c r="C27" s="122"/>
      <c r="D27" s="122"/>
      <c r="E27" s="122"/>
      <c r="F27" s="104"/>
      <c r="G27" s="122"/>
      <c r="H27" s="122"/>
      <c r="I27" s="122"/>
      <c r="J27" s="104"/>
      <c r="K27" s="122"/>
      <c r="L27" s="104"/>
      <c r="M27" s="122"/>
      <c r="N27" s="104"/>
      <c r="O27" s="104"/>
      <c r="P27" s="104"/>
      <c r="Q27" s="104"/>
      <c r="R27" s="122"/>
      <c r="S27" s="104"/>
      <c r="T27" s="104"/>
      <c r="U27" s="196"/>
      <c r="V27" s="197"/>
    </row>
    <row r="28" spans="2:22">
      <c r="B28" s="128"/>
      <c r="C28" s="122"/>
      <c r="D28" s="122"/>
      <c r="E28" s="122"/>
      <c r="F28" s="104"/>
      <c r="G28" s="122"/>
      <c r="H28" s="122"/>
      <c r="I28" s="122"/>
      <c r="J28" s="104"/>
      <c r="K28" s="122"/>
      <c r="L28" s="104"/>
      <c r="M28" s="122"/>
      <c r="N28" s="104"/>
      <c r="O28" s="104"/>
      <c r="P28" s="104"/>
      <c r="Q28" s="104"/>
      <c r="R28" s="122"/>
      <c r="S28" s="104"/>
      <c r="T28" s="104"/>
      <c r="U28" s="196"/>
      <c r="V28" s="197"/>
    </row>
    <row r="29" spans="2:22">
      <c r="B29" s="128"/>
      <c r="C29" s="122"/>
      <c r="D29" s="122"/>
      <c r="E29" s="122"/>
      <c r="F29" s="104"/>
      <c r="G29" s="122"/>
      <c r="H29" s="122"/>
      <c r="I29" s="122"/>
      <c r="J29" s="104"/>
      <c r="K29" s="122"/>
      <c r="L29" s="104"/>
      <c r="M29" s="122"/>
      <c r="N29" s="104"/>
      <c r="O29" s="104"/>
      <c r="P29" s="104"/>
      <c r="Q29" s="104"/>
      <c r="R29" s="122"/>
      <c r="S29" s="104"/>
      <c r="T29" s="104"/>
      <c r="U29" s="196"/>
      <c r="V29" s="197"/>
    </row>
    <row r="30" spans="2:22">
      <c r="B30" s="128"/>
      <c r="C30" s="122"/>
      <c r="D30" s="122"/>
      <c r="E30" s="122"/>
      <c r="F30" s="104"/>
      <c r="G30" s="122"/>
      <c r="H30" s="122"/>
      <c r="I30" s="122"/>
      <c r="J30" s="104"/>
      <c r="K30" s="122"/>
      <c r="L30" s="104"/>
      <c r="M30" s="122"/>
      <c r="N30" s="104"/>
      <c r="O30" s="104"/>
      <c r="P30" s="104"/>
      <c r="Q30" s="104"/>
      <c r="R30" s="122"/>
      <c r="S30" s="104"/>
      <c r="T30" s="104"/>
      <c r="U30" s="196"/>
      <c r="V30" s="197"/>
    </row>
    <row r="31" spans="2:22">
      <c r="B31" s="128"/>
      <c r="C31" s="122"/>
      <c r="D31" s="122"/>
      <c r="E31" s="122"/>
      <c r="F31" s="104"/>
      <c r="G31" s="122"/>
      <c r="H31" s="122"/>
      <c r="I31" s="122"/>
      <c r="J31" s="104"/>
      <c r="K31" s="122"/>
      <c r="L31" s="104"/>
      <c r="M31" s="122"/>
      <c r="N31" s="104"/>
      <c r="O31" s="104"/>
      <c r="P31" s="104"/>
      <c r="Q31" s="104"/>
      <c r="R31" s="122"/>
      <c r="S31" s="104"/>
      <c r="T31" s="104"/>
      <c r="U31" s="196"/>
      <c r="V31" s="197"/>
    </row>
    <row r="32" spans="2:22">
      <c r="B32" s="128"/>
      <c r="C32" s="122"/>
      <c r="D32" s="122"/>
      <c r="E32" s="122"/>
      <c r="F32" s="104"/>
      <c r="G32" s="122"/>
      <c r="H32" s="122"/>
      <c r="I32" s="122"/>
      <c r="J32" s="104"/>
      <c r="K32" s="122"/>
      <c r="L32" s="104"/>
      <c r="M32" s="122"/>
      <c r="N32" s="104"/>
      <c r="O32" s="104"/>
      <c r="P32" s="104"/>
      <c r="Q32" s="104"/>
      <c r="R32" s="122"/>
      <c r="S32" s="104"/>
      <c r="T32" s="104"/>
      <c r="U32" s="196"/>
      <c r="V32" s="197"/>
    </row>
    <row r="33" spans="2:22">
      <c r="B33" s="128"/>
      <c r="C33" s="122"/>
      <c r="D33" s="122"/>
      <c r="E33" s="122"/>
      <c r="F33" s="104"/>
      <c r="G33" s="122"/>
      <c r="H33" s="122"/>
      <c r="I33" s="122"/>
      <c r="J33" s="104"/>
      <c r="K33" s="122"/>
      <c r="L33" s="104"/>
      <c r="M33" s="122"/>
      <c r="N33" s="104"/>
      <c r="O33" s="104"/>
      <c r="P33" s="104"/>
      <c r="Q33" s="104"/>
      <c r="R33" s="122"/>
      <c r="S33" s="104"/>
      <c r="T33" s="104"/>
      <c r="U33" s="196"/>
      <c r="V33" s="197"/>
    </row>
    <row r="34" spans="2:22">
      <c r="B34" s="128"/>
      <c r="C34" s="122"/>
      <c r="D34" s="122"/>
      <c r="E34" s="122"/>
      <c r="F34" s="104"/>
      <c r="G34" s="122"/>
      <c r="H34" s="122"/>
      <c r="I34" s="122"/>
      <c r="J34" s="104"/>
      <c r="K34" s="122"/>
      <c r="L34" s="104"/>
      <c r="M34" s="122"/>
      <c r="N34" s="104"/>
      <c r="O34" s="104"/>
      <c r="P34" s="104"/>
      <c r="Q34" s="104"/>
      <c r="R34" s="122"/>
      <c r="S34" s="104"/>
      <c r="T34" s="104"/>
      <c r="U34" s="196"/>
      <c r="V34" s="197"/>
    </row>
    <row r="35" spans="2:22">
      <c r="B35" s="128"/>
      <c r="C35" s="122"/>
      <c r="D35" s="122"/>
      <c r="E35" s="122"/>
      <c r="F35" s="104"/>
      <c r="G35" s="122"/>
      <c r="H35" s="122"/>
      <c r="I35" s="122"/>
      <c r="J35" s="104"/>
      <c r="K35" s="122"/>
      <c r="L35" s="104"/>
      <c r="M35" s="122"/>
      <c r="N35" s="104"/>
      <c r="O35" s="104"/>
      <c r="P35" s="104"/>
      <c r="Q35" s="104"/>
      <c r="R35" s="122"/>
      <c r="S35" s="104"/>
      <c r="T35" s="104"/>
      <c r="U35" s="196"/>
      <c r="V35" s="197"/>
    </row>
    <row r="36" spans="2:22">
      <c r="B36" s="128"/>
      <c r="C36" s="122"/>
      <c r="D36" s="122"/>
      <c r="E36" s="122"/>
      <c r="F36" s="104"/>
      <c r="G36" s="122"/>
      <c r="H36" s="122"/>
      <c r="I36" s="122"/>
      <c r="J36" s="104"/>
      <c r="K36" s="122"/>
      <c r="L36" s="104"/>
      <c r="M36" s="122"/>
      <c r="N36" s="104"/>
      <c r="O36" s="104"/>
      <c r="P36" s="104"/>
      <c r="Q36" s="104"/>
      <c r="R36" s="122"/>
      <c r="S36" s="104"/>
      <c r="T36" s="104"/>
      <c r="U36" s="196"/>
      <c r="V36" s="197"/>
    </row>
    <row r="37" spans="2:22">
      <c r="B37" s="128"/>
      <c r="C37" s="122"/>
      <c r="D37" s="122"/>
      <c r="E37" s="122"/>
      <c r="F37" s="104"/>
      <c r="G37" s="122"/>
      <c r="H37" s="122"/>
      <c r="I37" s="122"/>
      <c r="J37" s="104"/>
      <c r="K37" s="122"/>
      <c r="L37" s="104"/>
      <c r="M37" s="122"/>
      <c r="N37" s="104"/>
      <c r="O37" s="104"/>
      <c r="P37" s="104"/>
      <c r="Q37" s="104"/>
      <c r="R37" s="122"/>
      <c r="S37" s="104"/>
      <c r="T37" s="104"/>
      <c r="U37" s="196"/>
      <c r="V37" s="197"/>
    </row>
    <row r="38" spans="2:22">
      <c r="B38" s="128"/>
      <c r="C38" s="122"/>
      <c r="D38" s="122"/>
      <c r="E38" s="122"/>
      <c r="F38" s="104"/>
      <c r="G38" s="122"/>
      <c r="H38" s="122"/>
      <c r="I38" s="122"/>
      <c r="J38" s="104"/>
      <c r="K38" s="122"/>
      <c r="L38" s="104"/>
      <c r="M38" s="122"/>
      <c r="N38" s="104"/>
      <c r="O38" s="104"/>
      <c r="P38" s="104"/>
      <c r="Q38" s="104"/>
      <c r="R38" s="122"/>
      <c r="S38" s="104"/>
      <c r="T38" s="104"/>
      <c r="U38" s="196"/>
      <c r="V38" s="197"/>
    </row>
    <row r="39" spans="2:22">
      <c r="B39" s="128"/>
      <c r="C39" s="122"/>
      <c r="D39" s="122"/>
      <c r="E39" s="122"/>
      <c r="F39" s="104"/>
      <c r="G39" s="122"/>
      <c r="H39" s="122"/>
      <c r="I39" s="122"/>
      <c r="J39" s="104"/>
      <c r="K39" s="122"/>
      <c r="L39" s="104"/>
      <c r="M39" s="122"/>
      <c r="N39" s="104"/>
      <c r="O39" s="104"/>
      <c r="P39" s="104"/>
      <c r="Q39" s="104"/>
      <c r="R39" s="122"/>
      <c r="S39" s="104"/>
      <c r="T39" s="104"/>
      <c r="U39" s="196"/>
      <c r="V39" s="197"/>
    </row>
    <row r="40" spans="2:22">
      <c r="B40" s="128"/>
      <c r="C40" s="122"/>
      <c r="D40" s="122"/>
      <c r="E40" s="122"/>
      <c r="F40" s="104"/>
      <c r="G40" s="122"/>
      <c r="H40" s="122"/>
      <c r="I40" s="122"/>
      <c r="J40" s="104"/>
      <c r="K40" s="122"/>
      <c r="L40" s="104"/>
      <c r="M40" s="122"/>
      <c r="N40" s="104"/>
      <c r="O40" s="104"/>
      <c r="P40" s="104"/>
      <c r="Q40" s="104"/>
      <c r="R40" s="122"/>
      <c r="S40" s="104"/>
      <c r="T40" s="104"/>
      <c r="U40" s="196"/>
      <c r="V40" s="197"/>
    </row>
    <row r="41" spans="2:22">
      <c r="B41" s="128"/>
      <c r="C41" s="122"/>
      <c r="D41" s="122"/>
      <c r="E41" s="122"/>
      <c r="F41" s="104"/>
      <c r="G41" s="122"/>
      <c r="H41" s="122"/>
      <c r="I41" s="122"/>
      <c r="J41" s="104"/>
      <c r="K41" s="122"/>
      <c r="L41" s="104"/>
      <c r="M41" s="122"/>
      <c r="N41" s="104"/>
      <c r="O41" s="104"/>
      <c r="P41" s="104"/>
      <c r="Q41" s="104"/>
      <c r="R41" s="122"/>
      <c r="S41" s="104"/>
      <c r="T41" s="104"/>
      <c r="U41" s="196"/>
      <c r="V41" s="197"/>
    </row>
    <row r="42" spans="2:22">
      <c r="B42" s="128"/>
      <c r="C42" s="122"/>
      <c r="D42" s="122"/>
      <c r="E42" s="122"/>
      <c r="F42" s="104"/>
      <c r="G42" s="122"/>
      <c r="H42" s="122"/>
      <c r="I42" s="122"/>
      <c r="J42" s="104"/>
      <c r="K42" s="122"/>
      <c r="L42" s="104"/>
      <c r="M42" s="122"/>
      <c r="N42" s="104"/>
      <c r="O42" s="104"/>
      <c r="P42" s="104"/>
      <c r="Q42" s="104"/>
      <c r="R42" s="122"/>
      <c r="S42" s="104"/>
      <c r="T42" s="104"/>
      <c r="U42" s="196"/>
      <c r="V42" s="197"/>
    </row>
    <row r="43" spans="2:22" ht="17.25" thickBot="1">
      <c r="B43" s="129"/>
      <c r="C43" s="123"/>
      <c r="D43" s="123"/>
      <c r="E43" s="123"/>
      <c r="F43" s="105"/>
      <c r="G43" s="123"/>
      <c r="H43" s="123"/>
      <c r="I43" s="123"/>
      <c r="J43" s="105"/>
      <c r="K43" s="123"/>
      <c r="L43" s="105"/>
      <c r="M43" s="123"/>
      <c r="N43" s="105"/>
      <c r="O43" s="105"/>
      <c r="P43" s="105"/>
      <c r="Q43" s="105"/>
      <c r="R43" s="123"/>
      <c r="S43" s="105"/>
      <c r="T43" s="105"/>
      <c r="U43" s="194"/>
      <c r="V43" s="195"/>
    </row>
  </sheetData>
  <autoFilter ref="B2:V22" xr:uid="{00000000-0001-0000-0600-000000000000}">
    <filterColumn colId="0" showButton="0"/>
    <filterColumn colId="1" showButton="0"/>
    <filterColumn colId="2" showButton="0"/>
    <filterColumn colId="4">
      <filters>
        <filter val="긴트 SS기 배터리 팩"/>
      </filters>
    </filterColumn>
    <filterColumn colId="19" showButton="0"/>
  </autoFilter>
  <mergeCells count="43">
    <mergeCell ref="B2:E2"/>
    <mergeCell ref="U3:V3"/>
    <mergeCell ref="U5:V5"/>
    <mergeCell ref="U6:V6"/>
    <mergeCell ref="U7:V7"/>
    <mergeCell ref="U4:V4"/>
    <mergeCell ref="U2:V2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U18:V18"/>
    <mergeCell ref="U19:V19"/>
    <mergeCell ref="U20:V20"/>
    <mergeCell ref="U21:V21"/>
    <mergeCell ref="U22:V22"/>
    <mergeCell ref="U23:V23"/>
    <mergeCell ref="U24:V24"/>
    <mergeCell ref="U25:V25"/>
    <mergeCell ref="U26:V26"/>
    <mergeCell ref="U27:V27"/>
    <mergeCell ref="U28:V28"/>
    <mergeCell ref="U29:V29"/>
    <mergeCell ref="U30:V30"/>
    <mergeCell ref="U31:V31"/>
    <mergeCell ref="U32:V32"/>
    <mergeCell ref="U33:V33"/>
    <mergeCell ref="U34:V34"/>
    <mergeCell ref="U35:V35"/>
    <mergeCell ref="U41:V41"/>
    <mergeCell ref="U42:V42"/>
    <mergeCell ref="U43:V43"/>
    <mergeCell ref="U36:V36"/>
    <mergeCell ref="U37:V37"/>
    <mergeCell ref="U38:V38"/>
    <mergeCell ref="U39:V39"/>
    <mergeCell ref="U40:V40"/>
  </mergeCells>
  <phoneticPr fontId="3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프로젝트 일정 간트차트</dc:title>
  <dc:subject>프로젝트 일정 간트차트</dc:subject>
  <dc:creator>(주) 예스폼 관리자</dc:creator>
  <cp:keywords/>
  <dc:description>본 콘텐츠의 저작권은 예스폼(Yesform)에 있으며_x000d_
무단 복제 및 배포시 법적인 제재를 받을 수 있습니다.</dc:description>
  <cp:lastModifiedBy>김 미성</cp:lastModifiedBy>
  <cp:revision>6</cp:revision>
  <dcterms:created xsi:type="dcterms:W3CDTF">2014-12-28T23:05:36Z</dcterms:created>
  <dcterms:modified xsi:type="dcterms:W3CDTF">2026-02-12T01:34:11Z</dcterms:modified>
  <cp:category/>
  <cp:contentStatus/>
</cp:coreProperties>
</file>